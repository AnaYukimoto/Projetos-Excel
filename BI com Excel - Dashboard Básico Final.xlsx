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1.xml" ContentType="application/vnd.ms-excel.timelin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087458988595255/"/>
    </mc:Choice>
  </mc:AlternateContent>
  <xr:revisionPtr revIDLastSave="0" documentId="8_{D1BB8435-C067-488E-8E8E-97841F801B79}" xr6:coauthVersionLast="47" xr6:coauthVersionMax="47" xr10:uidLastSave="{00000000-0000-0000-0000-000000000000}"/>
  <bookViews>
    <workbookView xWindow="-108" yWindow="-108" windowWidth="23256" windowHeight="12456" tabRatio="781" xr2:uid="{87BE7180-3E81-4FE5-B433-FFDBA552102C}"/>
  </bookViews>
  <sheets>
    <sheet name="Dashboard" sheetId="31" r:id="rId1"/>
    <sheet name="Tab Din Dashboard" sheetId="36" r:id="rId2"/>
    <sheet name="Base Cálculos" sheetId="32" state="hidden" r:id="rId3"/>
    <sheet name="Gráficos Din" sheetId="35" r:id="rId4"/>
    <sheet name="Tab Din" sheetId="34" r:id="rId5"/>
    <sheet name="Produtos" sheetId="2" r:id="rId6"/>
    <sheet name="Fornecedor" sheetId="3" r:id="rId7"/>
    <sheet name="Entradas" sheetId="4" r:id="rId8"/>
    <sheet name="Saídas" sheetId="5" r:id="rId9"/>
    <sheet name="Consulta" sheetId="6" r:id="rId10"/>
    <sheet name="Controle de Estoque" sheetId="7" r:id="rId11"/>
    <sheet name="Quadro de Resumo" sheetId="8" r:id="rId12"/>
  </sheets>
  <definedNames>
    <definedName name="_xlcn.WorksheetConnection_BIcomExcelDashboardBásico1.xlsxTB_ControleEstoque" hidden="1">TB_ControleEstoque[]</definedName>
    <definedName name="_xlcn.WorksheetConnection_BIcomExcelDashboardBásico1.xlsxTB_Entradas" hidden="1">TB_Entradas[]</definedName>
    <definedName name="_xlcn.WorksheetConnection_BIcomExcelDashboardBásico1.xlsxTB_Fornecedor" hidden="1">TB_Fornecedor[]</definedName>
    <definedName name="_xlcn.WorksheetConnection_BIcomExcelDashboardBásico1.xlsxTB_Produtos" hidden="1">TB_Produtos[]</definedName>
    <definedName name="_xlcn.WorksheetConnection_BIcomExcelDashboardBásico1.xlsxTB_Saídas" hidden="1">TB_Saídas[]</definedName>
    <definedName name="CriteriosConsultaProduto">'Quadro de Resumo'!$AM$7:$AM$8</definedName>
    <definedName name="Lista_Produtos" localSheetId="0">TB_Produtos[[#All],[Produto]]</definedName>
    <definedName name="Lista_Produtos">TB_Produtos[[#All],[Produto]]</definedName>
    <definedName name="NativeTimeline_Data">#N/A</definedName>
    <definedName name="SegmentaçãodeDados_Data__Mês">#N/A</definedName>
    <definedName name="SegmentaçãodeDados_Empresa">#N/A</definedName>
    <definedName name="SegmentaçãodeDados_Fornecedor">#N/A</definedName>
    <definedName name="SegmentaçãodeDados_Produto">#N/A</definedName>
    <definedName name="SegmentaçãodeDados_Produto1">#N/A</definedName>
  </definedNames>
  <calcPr calcId="191028"/>
  <pivotCaches>
    <pivotCache cacheId="3355" r:id="rId13"/>
    <pivotCache cacheId="3356" r:id="rId14"/>
    <pivotCache cacheId="3357" r:id="rId15"/>
    <pivotCache cacheId="3358" r:id="rId16"/>
    <pivotCache cacheId="3359" r:id="rId17"/>
    <pivotCache cacheId="3360" r:id="rId18"/>
    <pivotCache cacheId="3361" r:id="rId19"/>
    <pivotCache cacheId="3362" r:id="rId20"/>
    <pivotCache cacheId="3363" r:id="rId21"/>
    <pivotCache cacheId="3364" r:id="rId22"/>
  </pivotCaches>
  <extLst>
    <ext xmlns:x14="http://schemas.microsoft.com/office/spreadsheetml/2009/9/main" uri="{876F7934-8845-4945-9796-88D515C7AA90}">
      <x14:pivotCaches>
        <pivotCache cacheId="3365" r:id="rId23"/>
        <pivotCache cacheId="3366" r:id="rId24"/>
        <pivotCache cacheId="3367" r:id="rId25"/>
      </x14:pivotCaches>
    </ext>
    <ext xmlns:x14="http://schemas.microsoft.com/office/spreadsheetml/2009/9/main" uri="{BBE1A952-AA13-448e-AADC-164F8A28A991}">
      <x14:slicerCaches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Saídas" name="TB_Saídas" connection="WorksheetConnection_BI com Excel - Dashboard Básico1.xlsx!TB_Saídas"/>
          <x15:modelTable id="TB_Produtos" name="TB_Produtos" connection="WorksheetConnection_BI com Excel - Dashboard Básico1.xlsx!TB_Produtos"/>
          <x15:modelTable id="TB_Fornecedor" name="TB_Fornecedor" connection="WorksheetConnection_BI com Excel - Dashboard Básico1.xlsx!TB_Fornecedor"/>
          <x15:modelTable id="TB_Entradas" name="TB_Entradas" connection="WorksheetConnection_BI com Excel - Dashboard Básico1.xlsx!TB_Entradas"/>
          <x15:modelTable id="TB_ControleEstoque" name="TB_ControleEstoque" connection="WorksheetConnection_BI com Excel - Dashboard Básico1.xlsx!TB_ControleEstoque"/>
          <x15:modelTable id="Calendário" name="Calendário" connection="Conexão"/>
        </x15:modelTables>
        <x15:modelRelationships>
          <x15:modelRelationship fromTable="TB_Entradas" fromColumn="Código Produto" toTable="TB_Produtos" toColumn="Código Produto"/>
          <x15:modelRelationship fromTable="TB_Entradas" fromColumn="Fornecedor" toTable="TB_Fornecedor" toColumn="Código"/>
          <x15:modelRelationship fromTable="TB_Entradas" fromColumn="Data" toTable="Calendário" toColumn="Date"/>
          <x15:modelRelationship fromTable="TB_Saídas" fromColumn="Código Produto" toTable="TB_Produtos" toColumn="Código Produto"/>
          <x15:modelRelationship fromTable="TB_Saídas" fromColumn="Data" toTable="Calendá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Entra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" i="8" l="1"/>
  <c r="N23" i="8"/>
  <c r="AM20" i="8"/>
  <c r="N20" i="8"/>
  <c r="AM17" i="8"/>
  <c r="N17" i="8"/>
  <c r="AM14" i="8"/>
  <c r="N14" i="8"/>
  <c r="AM11" i="8"/>
  <c r="N11" i="8"/>
  <c r="N8" i="8"/>
  <c r="J15" i="7"/>
  <c r="I15" i="7"/>
  <c r="H15" i="7"/>
  <c r="G15" i="7"/>
  <c r="G15" i="7" a="1"/>
  <c r="F15" i="7"/>
  <c r="E15" i="7"/>
  <c r="D15" i="7"/>
  <c r="C15" i="7"/>
  <c r="J14" i="7"/>
  <c r="I14" i="7"/>
  <c r="H14" i="7"/>
  <c r="G14" i="7"/>
  <c r="G14" i="7" a="1"/>
  <c r="F14" i="7"/>
  <c r="E14" i="7"/>
  <c r="D14" i="7"/>
  <c r="C14" i="7"/>
  <c r="J13" i="7"/>
  <c r="I13" i="7"/>
  <c r="H13" i="7"/>
  <c r="G13" i="7"/>
  <c r="G13" i="7" a="1"/>
  <c r="F13" i="7"/>
  <c r="E13" i="7"/>
  <c r="D13" i="7"/>
  <c r="C13" i="7"/>
  <c r="J12" i="7"/>
  <c r="I12" i="7"/>
  <c r="H12" i="7"/>
  <c r="G12" i="7"/>
  <c r="G12" i="7" a="1"/>
  <c r="F12" i="7"/>
  <c r="E12" i="7"/>
  <c r="D12" i="7"/>
  <c r="C12" i="7"/>
  <c r="J11" i="7"/>
  <c r="I11" i="7"/>
  <c r="H11" i="7"/>
  <c r="G11" i="7"/>
  <c r="G11" i="7" a="1"/>
  <c r="F11" i="7"/>
  <c r="E11" i="7"/>
  <c r="D11" i="7"/>
  <c r="C11" i="7"/>
  <c r="J10" i="7"/>
  <c r="I10" i="7"/>
  <c r="H10" i="7"/>
  <c r="G10" i="7"/>
  <c r="G10" i="7" a="1"/>
  <c r="F10" i="7"/>
  <c r="E10" i="7"/>
  <c r="D10" i="7"/>
  <c r="C10" i="7"/>
  <c r="P9" i="7"/>
  <c r="N9" i="7"/>
  <c r="J9" i="7"/>
  <c r="I9" i="7"/>
  <c r="H9" i="7"/>
  <c r="G9" i="7"/>
  <c r="G9" i="7" a="1"/>
  <c r="F9" i="7"/>
  <c r="E9" i="7"/>
  <c r="D9" i="7"/>
  <c r="C9" i="7"/>
  <c r="J8" i="7"/>
  <c r="I8" i="7"/>
  <c r="H8" i="7"/>
  <c r="G8" i="7"/>
  <c r="G8" i="7" a="1"/>
  <c r="F8" i="7"/>
  <c r="E8" i="7"/>
  <c r="D8" i="7"/>
  <c r="C8" i="7"/>
  <c r="J7" i="7"/>
  <c r="I7" i="7"/>
  <c r="H7" i="7"/>
  <c r="G7" i="7"/>
  <c r="G7" i="7" a="1"/>
  <c r="F7" i="7"/>
  <c r="E7" i="7"/>
  <c r="D7" i="7"/>
  <c r="C7" i="7"/>
  <c r="J6" i="7"/>
  <c r="I6" i="7"/>
  <c r="H6" i="7"/>
  <c r="G6" i="7"/>
  <c r="G6" i="7" a="1"/>
  <c r="F6" i="7"/>
  <c r="E6" i="7"/>
  <c r="D6" i="7"/>
  <c r="C6" i="7"/>
  <c r="F14" i="6"/>
  <c r="F12" i="6"/>
  <c r="F10" i="6"/>
  <c r="F8" i="6"/>
  <c r="F6" i="6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G16" i="32"/>
  <c r="F16" i="32"/>
  <c r="C16" i="32"/>
  <c r="B16" i="32"/>
  <c r="G15" i="32"/>
  <c r="F15" i="32"/>
  <c r="C15" i="32"/>
  <c r="B15" i="32"/>
  <c r="R14" i="32"/>
  <c r="Q14" i="32"/>
  <c r="P14" i="32"/>
  <c r="M14" i="32"/>
  <c r="L14" i="32"/>
  <c r="G14" i="32"/>
  <c r="F14" i="32"/>
  <c r="C14" i="32"/>
  <c r="B14" i="32"/>
  <c r="R13" i="32"/>
  <c r="Q13" i="32"/>
  <c r="P13" i="32"/>
  <c r="M13" i="32"/>
  <c r="L13" i="32"/>
  <c r="G13" i="32"/>
  <c r="F13" i="32"/>
  <c r="C13" i="32"/>
  <c r="B13" i="32"/>
  <c r="R12" i="32"/>
  <c r="Q12" i="32"/>
  <c r="P12" i="32"/>
  <c r="M12" i="32"/>
  <c r="L12" i="32"/>
  <c r="G12" i="32"/>
  <c r="F12" i="32"/>
  <c r="C12" i="32"/>
  <c r="B12" i="32"/>
  <c r="R11" i="32"/>
  <c r="Q11" i="32"/>
  <c r="P11" i="32"/>
  <c r="M11" i="32"/>
  <c r="L11" i="32"/>
  <c r="C11" i="32"/>
  <c r="B11" i="32"/>
  <c r="R10" i="32"/>
  <c r="Q10" i="32"/>
  <c r="P10" i="32"/>
  <c r="M10" i="32"/>
  <c r="L10" i="32"/>
  <c r="C10" i="32"/>
  <c r="B10" i="32"/>
  <c r="R9" i="32"/>
  <c r="Q9" i="32"/>
  <c r="P9" i="32"/>
  <c r="M9" i="32"/>
  <c r="L9" i="32"/>
  <c r="C9" i="32"/>
  <c r="B9" i="32"/>
  <c r="R8" i="32"/>
  <c r="Q8" i="32"/>
  <c r="P8" i="32"/>
  <c r="M8" i="32"/>
  <c r="L8" i="32"/>
  <c r="C8" i="32"/>
  <c r="B8" i="32"/>
  <c r="R7" i="32"/>
  <c r="Q7" i="32"/>
  <c r="P7" i="32"/>
  <c r="M7" i="32"/>
  <c r="L7" i="32"/>
  <c r="H7" i="32"/>
  <c r="G7" i="32"/>
  <c r="F7" i="32"/>
  <c r="C7" i="32"/>
  <c r="B7" i="32"/>
  <c r="R6" i="32"/>
  <c r="Q6" i="32"/>
  <c r="P6" i="32"/>
  <c r="M6" i="32"/>
  <c r="L6" i="32"/>
  <c r="H6" i="32"/>
  <c r="G6" i="32"/>
  <c r="F6" i="32"/>
  <c r="C6" i="32"/>
  <c r="B6" i="32"/>
  <c r="R5" i="32"/>
  <c r="Q5" i="32"/>
  <c r="P5" i="32"/>
  <c r="M5" i="32"/>
  <c r="L5" i="32"/>
  <c r="H5" i="32"/>
  <c r="G5" i="32"/>
  <c r="F5" i="32"/>
  <c r="C5" i="32"/>
  <c r="B5" i="32"/>
  <c r="R4" i="32"/>
  <c r="Q4" i="32"/>
  <c r="P4" i="32"/>
  <c r="M4" i="32"/>
  <c r="L4" i="32"/>
  <c r="H4" i="32"/>
  <c r="G4" i="32"/>
  <c r="F4" i="32"/>
  <c r="C4" i="32"/>
  <c r="B4" i="32"/>
  <c r="V3" i="32"/>
  <c r="U3" i="32"/>
  <c r="R3" i="32"/>
  <c r="Q3" i="32"/>
  <c r="P3" i="32"/>
  <c r="O3" i="32"/>
  <c r="M3" i="32"/>
  <c r="L3" i="32"/>
  <c r="H3" i="32"/>
  <c r="G3" i="32"/>
  <c r="F3" i="32"/>
  <c r="C3" i="32"/>
  <c r="B3" i="32"/>
  <c r="C2" i="32"/>
  <c r="B2" i="32"/>
  <c r="C1" i="32"/>
  <c r="B1" i="32"/>
  <c r="A1" i="32"/>
  <c r="A1" i="32" a="1"/>
  <c r="AV8" i="31"/>
  <c r="CD8" i="31"/>
  <c r="AE8" i="31"/>
  <c r="BM8" i="3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2FD1E-E962-42AD-8571-8A1877512B09}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xr16:uid="{D0D51A81-4964-498D-9214-4891D305EC6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D976662-4FF1-432E-8320-C22434F0D95D}" name="WorksheetConnection_BI com Excel - Dashboard Básico1.xlsx!TB_ControleEstoque" type="102" refreshedVersion="8" minRefreshableVersion="5">
    <extLst>
      <ext xmlns:x15="http://schemas.microsoft.com/office/spreadsheetml/2010/11/main" uri="{DE250136-89BD-433C-8126-D09CA5730AF9}">
        <x15:connection id="TB_ControleEstoque">
          <x15:rangePr sourceName="_xlcn.WorksheetConnection_BIcomExcelDashboardBásico1.xlsxTB_ControleEstoque"/>
        </x15:connection>
      </ext>
    </extLst>
  </connection>
  <connection id="4" xr16:uid="{6A5C5E5B-6D60-4934-B369-D248D6DF530E}" name="WorksheetConnection_BI com Excel - Dashboard Básico1.xlsx!TB_Entradas" type="102" refreshedVersion="8" minRefreshableVersion="5">
    <extLst>
      <ext xmlns:x15="http://schemas.microsoft.com/office/spreadsheetml/2010/11/main" uri="{DE250136-89BD-433C-8126-D09CA5730AF9}">
        <x15:connection id="TB_Entradas">
          <x15:rangePr sourceName="_xlcn.WorksheetConnection_BIcomExcelDashboardBásico1.xlsxTB_Entradas"/>
        </x15:connection>
      </ext>
    </extLst>
  </connection>
  <connection id="5" xr16:uid="{07DA4AAD-047B-4FF5-9D81-0C364892C4A0}" name="WorksheetConnection_BI com Excel - Dashboard Básico1.xlsx!TB_Fornecedor" type="102" refreshedVersion="8" minRefreshableVersion="5">
    <extLst>
      <ext xmlns:x15="http://schemas.microsoft.com/office/spreadsheetml/2010/11/main" uri="{DE250136-89BD-433C-8126-D09CA5730AF9}">
        <x15:connection id="TB_Fornecedor">
          <x15:rangePr sourceName="_xlcn.WorksheetConnection_BIcomExcelDashboardBásico1.xlsxTB_Fornecedor"/>
        </x15:connection>
      </ext>
    </extLst>
  </connection>
  <connection id="6" xr16:uid="{E4354ECA-9F27-46FE-BCC1-B479180E1F2C}" name="WorksheetConnection_BI com Excel - Dashboard Básico1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BIcomExcelDashboardBásico1.xlsxTB_Produtos"/>
        </x15:connection>
      </ext>
    </extLst>
  </connection>
  <connection id="7" xr16:uid="{85654BF0-1CBE-403F-BC41-85911E3A54C3}" name="WorksheetConnection_BI com Excel - Dashboard Básico1.xlsx!TB_Saídas" type="102" refreshedVersion="8" minRefreshableVersion="5">
    <extLst>
      <ext xmlns:x15="http://schemas.microsoft.com/office/spreadsheetml/2010/11/main" uri="{DE250136-89BD-433C-8126-D09CA5730AF9}">
        <x15:connection id="TB_Saídas">
          <x15:rangePr sourceName="_xlcn.WorksheetConnection_BIcomExcelDashboardBásico1.xlsxTB_Saída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<sst xmlns="http://schemas.openxmlformats.org/spreadsheetml/2006/main" count="370" uniqueCount="156">
  <si>
    <r>
      <rPr>
        <b/>
        <sz val="24"/>
        <color rgb="FF1A261A"/>
        <rFont val="Barlow"/>
      </rPr>
      <t>DASHBOARD</t>
    </r>
    <r>
      <rPr>
        <sz val="24"/>
        <color rgb="FF1A261A"/>
        <rFont val="Barlow"/>
      </rPr>
      <t xml:space="preserve"> </t>
    </r>
    <r>
      <rPr>
        <b/>
        <sz val="24"/>
        <color rgb="FF1A261A"/>
        <rFont val="Barlow"/>
      </rPr>
      <t xml:space="preserve">  </t>
    </r>
  </si>
  <si>
    <t>FATURAMENTO</t>
  </si>
  <si>
    <t>DESPESAS</t>
  </si>
  <si>
    <t>MARGEM DE LUCRO</t>
  </si>
  <si>
    <t>MÉDIA DE VENDAS</t>
  </si>
  <si>
    <t>FATURAMENTO X DESPESA</t>
  </si>
  <si>
    <t>TOP 5 PRODUTOS MAIS VENDIDOS</t>
  </si>
  <si>
    <t>ENTRADA X SAÍDA MENSAL</t>
  </si>
  <si>
    <t>ENTRADA X SAÍDA</t>
  </si>
  <si>
    <t>RANKING FATURAMENTO</t>
  </si>
  <si>
    <t>Café</t>
  </si>
  <si>
    <t>Voltar ao Dash</t>
  </si>
  <si>
    <t>Qtd Comprada</t>
  </si>
  <si>
    <t>Qtd Vendida</t>
  </si>
  <si>
    <t>Status</t>
  </si>
  <si>
    <t>Valores</t>
  </si>
  <si>
    <t>Soma de Preço de Venda</t>
  </si>
  <si>
    <t>abr</t>
  </si>
  <si>
    <t>Total Comprado</t>
  </si>
  <si>
    <t>ago</t>
  </si>
  <si>
    <t>Total Vendido</t>
  </si>
  <si>
    <t>Chocolate Quente</t>
  </si>
  <si>
    <t>dez</t>
  </si>
  <si>
    <t>Pão de Queijo</t>
  </si>
  <si>
    <t>fev</t>
  </si>
  <si>
    <t>Coxinha</t>
  </si>
  <si>
    <t>Refrigerante</t>
  </si>
  <si>
    <t>jan</t>
  </si>
  <si>
    <t>jul</t>
  </si>
  <si>
    <t>Total Geral</t>
  </si>
  <si>
    <t>jun</t>
  </si>
  <si>
    <t>mai</t>
  </si>
  <si>
    <t>mar</t>
  </si>
  <si>
    <t>nov</t>
  </si>
  <si>
    <t>out</t>
  </si>
  <si>
    <t>set</t>
  </si>
  <si>
    <t>Top 5 Mais Vendidos</t>
  </si>
  <si>
    <t>Faturamento x Despesas</t>
  </si>
  <si>
    <t>Entradas e Saídas (QTD)</t>
  </si>
  <si>
    <t>Entradas e Saídas (Anual)</t>
  </si>
  <si>
    <t>Produto</t>
  </si>
  <si>
    <t>Qtd. Entradas</t>
  </si>
  <si>
    <t>Qtd. Saídas</t>
  </si>
  <si>
    <t>N Mês</t>
  </si>
  <si>
    <t>Mês</t>
  </si>
  <si>
    <t>Faturamento</t>
  </si>
  <si>
    <t>Despesas</t>
  </si>
  <si>
    <t xml:space="preserve">Mês </t>
  </si>
  <si>
    <t>Entradas</t>
  </si>
  <si>
    <t>Saídas</t>
  </si>
  <si>
    <t>1º</t>
  </si>
  <si>
    <t>Total</t>
  </si>
  <si>
    <t>2º</t>
  </si>
  <si>
    <t>3º</t>
  </si>
  <si>
    <t>4º</t>
  </si>
  <si>
    <t>5º</t>
  </si>
  <si>
    <t>Top 5 Faturamento</t>
  </si>
  <si>
    <t>Rótulos de Coluna</t>
  </si>
  <si>
    <t>Rótulos de Linha</t>
  </si>
  <si>
    <t>Custo</t>
  </si>
  <si>
    <t>Qtd</t>
  </si>
  <si>
    <t>Água</t>
  </si>
  <si>
    <t>Cerveja</t>
  </si>
  <si>
    <t>Frango</t>
  </si>
  <si>
    <t>Hamburguer</t>
  </si>
  <si>
    <t>Mini Pizza</t>
  </si>
  <si>
    <t>Suco de Laranja</t>
  </si>
  <si>
    <t>Soma de Quantidade Comprada</t>
  </si>
  <si>
    <t>Preço Unit</t>
  </si>
  <si>
    <t>Soma de Estoque Mínimo</t>
  </si>
  <si>
    <t>Mesma segmentação de dadoos para duas tabelas dinâmicas</t>
  </si>
  <si>
    <t>Açúcar</t>
  </si>
  <si>
    <t>Chá</t>
  </si>
  <si>
    <t>Chantilly</t>
  </si>
  <si>
    <t>Empada</t>
  </si>
  <si>
    <t>Enroladinho</t>
  </si>
  <si>
    <t>Esfiha</t>
  </si>
  <si>
    <t>Leite</t>
  </si>
  <si>
    <t>Manteiga</t>
  </si>
  <si>
    <t>Mortadela</t>
  </si>
  <si>
    <t>Pão</t>
  </si>
  <si>
    <t>Peito de Peru</t>
  </si>
  <si>
    <t>Presunto</t>
  </si>
  <si>
    <t>Queijo</t>
  </si>
  <si>
    <t>Quibe</t>
  </si>
  <si>
    <t>Requeijão</t>
  </si>
  <si>
    <t>Risoles</t>
  </si>
  <si>
    <t>Tab Din pelo Modelo de Dados</t>
  </si>
  <si>
    <t>Soma de Custo Compra</t>
  </si>
  <si>
    <t>Distribuídora KS</t>
  </si>
  <si>
    <t>Frigorífico Z</t>
  </si>
  <si>
    <t>Mercado Express</t>
  </si>
  <si>
    <t>Salgados Gran</t>
  </si>
  <si>
    <t>Cadastro de Produtos</t>
  </si>
  <si>
    <t>Código Produto</t>
  </si>
  <si>
    <t>Unidade de Medida</t>
  </si>
  <si>
    <t>Estoque Mínimo</t>
  </si>
  <si>
    <t>Custo Unitário</t>
  </si>
  <si>
    <t>Preço Unitário</t>
  </si>
  <si>
    <t xml:space="preserve">Unidade </t>
  </si>
  <si>
    <t>Kg</t>
  </si>
  <si>
    <t>Unidade</t>
  </si>
  <si>
    <t>Caixa</t>
  </si>
  <si>
    <t xml:space="preserve">Leite </t>
  </si>
  <si>
    <t xml:space="preserve">Água </t>
  </si>
  <si>
    <t>Embalagem</t>
  </si>
  <si>
    <t>Cadastro de Fornecedor</t>
  </si>
  <si>
    <t>Código</t>
  </si>
  <si>
    <t>Empresa</t>
  </si>
  <si>
    <t>Telefone</t>
  </si>
  <si>
    <t>Responsável</t>
  </si>
  <si>
    <t>E-mail</t>
  </si>
  <si>
    <t>(11) 1122-4422</t>
  </si>
  <si>
    <t>Maria</t>
  </si>
  <si>
    <t>maria@mercadoexpress.com.br</t>
  </si>
  <si>
    <t>(11) 1001-2022</t>
  </si>
  <si>
    <t>Carlos</t>
  </si>
  <si>
    <t>carlos@frigoríficoz.com.br</t>
  </si>
  <si>
    <t>(11) 1300-4033</t>
  </si>
  <si>
    <t>Eduardo</t>
  </si>
  <si>
    <t>eduardo@distribuídoraks.com.br</t>
  </si>
  <si>
    <t xml:space="preserve"> 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</si>
  <si>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</si>
  <si>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</si>
  <si>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</si>
  <si>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</si>
  <si>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</si>
  <si>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</si>
  <si>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</si>
  <si>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Controle de Saídas</t>
  </si>
  <si>
    <t>Quantidade Vendida</t>
  </si>
  <si>
    <t>Total Preco Venda</t>
  </si>
  <si>
    <t>Media Venda</t>
  </si>
  <si>
    <t xml:space="preserve">Consulta </t>
  </si>
  <si>
    <t>&lt;10/05/2022</t>
  </si>
  <si>
    <t/>
  </si>
  <si>
    <t xml:space="preserve">Quantidade em Estoque </t>
  </si>
  <si>
    <t>Valor da Compra</t>
  </si>
  <si>
    <t>Valor de Venda</t>
  </si>
  <si>
    <t>Controle de Estoque</t>
  </si>
  <si>
    <t xml:space="preserve">Saídas </t>
  </si>
  <si>
    <t>Saldo em Estoque</t>
  </si>
  <si>
    <t>Status do Estoque</t>
  </si>
  <si>
    <t>Custo Total</t>
  </si>
  <si>
    <t>Lucro</t>
  </si>
  <si>
    <t>Produto Mais Rentável</t>
  </si>
  <si>
    <t>Quadro de Resumo</t>
  </si>
  <si>
    <t>Dados 2022</t>
  </si>
  <si>
    <t>Consulta por Produto</t>
  </si>
  <si>
    <t xml:space="preserve">Produtos Vendidos: </t>
  </si>
  <si>
    <t xml:space="preserve">Dados: </t>
  </si>
  <si>
    <t xml:space="preserve">Qtd em Estoque: </t>
  </si>
  <si>
    <t xml:space="preserve">Faturamento: </t>
  </si>
  <si>
    <t xml:space="preserve">Despesas: </t>
  </si>
  <si>
    <t xml:space="preserve">Lucro: </t>
  </si>
  <si>
    <t xml:space="preserve">% Lucro: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</si>
</sst>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  <numFmt numFmtId="166" formatCode="_-[$R$-416]\ * #,##0_-;\-[$R$-416]\ * #,##0_-;_-[$R$-416]\ * &quot;-&quot;??_-;_-@_-"/>
    <numFmt numFmtId="167" formatCode="mmm"/>
    <numFmt numFmtId="168" formatCode="&quot;R$&quot;\ #,##0"/>
    <numFmt numFmtId="169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4"/>
      <color theme="0"/>
      <name val="Arial Rounded MT Bold"/>
      <family val="2"/>
    </font>
    <font>
      <b/>
      <sz val="28"/>
      <color rgb="FF093364"/>
      <name val="Calibri"/>
      <family val="2"/>
      <scheme val="minor"/>
    </font>
    <font>
      <b/>
      <sz val="11"/>
      <color theme="0"/>
      <name val="Arial Rounded MT Bold"/>
      <family val="2"/>
    </font>
    <font>
      <b/>
      <sz val="12.5"/>
      <color theme="0"/>
      <name val="Arial Rounded MT Bold"/>
      <family val="2"/>
    </font>
    <font>
      <b/>
      <sz val="28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28"/>
      <color rgb="FF030303"/>
      <name val="Calibri"/>
      <family val="2"/>
      <scheme val="minor"/>
    </font>
    <font>
      <sz val="11"/>
      <color rgb="FF030303"/>
      <name val="Calibri"/>
      <family val="2"/>
      <scheme val="minor"/>
    </font>
    <font>
      <sz val="35"/>
      <color rgb="FF764600"/>
      <name val="JasmineUPC"/>
    </font>
    <font>
      <b/>
      <sz val="16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26"/>
      <color rgb="FF1A261A"/>
      <name val="Barlow"/>
    </font>
    <font>
      <b/>
      <sz val="16"/>
      <color theme="0"/>
      <name val="Barlow"/>
    </font>
    <font>
      <b/>
      <sz val="13"/>
      <color rgb="FF1A261A"/>
      <name val="Barlow"/>
    </font>
    <font>
      <sz val="24"/>
      <color rgb="FF1A261A"/>
      <name val="Barlow"/>
    </font>
    <font>
      <b/>
      <sz val="24"/>
      <color rgb="FF1A261A"/>
      <name val="Barlow"/>
    </font>
    <font>
      <sz val="11"/>
      <name val="Barlow"/>
    </font>
    <font>
      <b/>
      <sz val="11"/>
      <name val="Barlow"/>
    </font>
    <font>
      <b/>
      <sz val="24"/>
      <color theme="0"/>
      <name val="Barlow ExtraBold"/>
    </font>
    <font>
      <sz val="11"/>
      <color theme="1"/>
      <name val="Barlow"/>
    </font>
    <font>
      <b/>
      <sz val="11"/>
      <color theme="0"/>
      <name val="Barlow"/>
    </font>
    <font>
      <sz val="11"/>
      <color rgb="FF4472C4"/>
      <name val="Barlow"/>
    </font>
    <font>
      <b/>
      <sz val="11"/>
      <color theme="1"/>
      <name val="Barlow"/>
    </font>
    <font>
      <b/>
      <sz val="12"/>
      <name val="Barlow"/>
    </font>
    <font>
      <b/>
      <sz val="12"/>
      <color theme="1"/>
      <name val="Barlow"/>
    </font>
    <font>
      <b/>
      <sz val="18"/>
      <color theme="0"/>
      <name val="Calibri"/>
      <family val="2"/>
      <scheme val="minor"/>
    </font>
    <font>
      <sz val="11"/>
      <color rgb="FFEBC28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Barlow"/>
    </font>
    <font>
      <sz val="14"/>
      <name val="Barlow"/>
    </font>
    <font>
      <sz val="13.5"/>
      <color rgb="FF1A261A"/>
      <name val="Barlow"/>
    </font>
    <font>
      <sz val="11"/>
      <color theme="0"/>
      <name val="Calibri"/>
      <family val="2"/>
      <scheme val="minor"/>
    </font>
    <font>
      <sz val="11"/>
      <color rgb="FF00340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EBC282"/>
        <bgColor indexed="64"/>
      </patternFill>
    </fill>
    <fill>
      <patternFill patternType="solid">
        <fgColor rgb="FFEBC282"/>
        <bgColor theme="4"/>
      </patternFill>
    </fill>
    <fill>
      <patternFill patternType="solid">
        <fgColor rgb="FF373A3A"/>
        <bgColor indexed="64"/>
      </patternFill>
    </fill>
    <fill>
      <patternFill patternType="solid">
        <fgColor rgb="FFE7B66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8C5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indexed="64"/>
      </patternFill>
    </fill>
    <fill>
      <patternFill patternType="solid">
        <fgColor theme="5" tint="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787674"/>
      </left>
      <right/>
      <top style="medium">
        <color rgb="FF787674"/>
      </top>
      <bottom/>
      <diagonal/>
    </border>
    <border>
      <left/>
      <right/>
      <top style="medium">
        <color rgb="FF787674"/>
      </top>
      <bottom/>
      <diagonal/>
    </border>
    <border>
      <left/>
      <right style="medium">
        <color rgb="FF787674"/>
      </right>
      <top style="medium">
        <color rgb="FF787674"/>
      </top>
      <bottom/>
      <diagonal/>
    </border>
    <border>
      <left style="medium">
        <color rgb="FF787674"/>
      </left>
      <right/>
      <top/>
      <bottom/>
      <diagonal/>
    </border>
    <border>
      <left/>
      <right style="medium">
        <color rgb="FF787674"/>
      </right>
      <top/>
      <bottom/>
      <diagonal/>
    </border>
    <border>
      <left style="medium">
        <color rgb="FF787674"/>
      </left>
      <right/>
      <top/>
      <bottom style="medium">
        <color rgb="FF787674"/>
      </bottom>
      <diagonal/>
    </border>
    <border>
      <left/>
      <right/>
      <top/>
      <bottom style="medium">
        <color rgb="FF787674"/>
      </bottom>
      <diagonal/>
    </border>
    <border>
      <left/>
      <right style="medium">
        <color rgb="FF787674"/>
      </right>
      <top/>
      <bottom style="medium">
        <color rgb="FF78767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13829"/>
      </left>
      <right/>
      <top style="medium">
        <color rgb="FF313829"/>
      </top>
      <bottom/>
      <diagonal/>
    </border>
    <border>
      <left/>
      <right/>
      <top style="medium">
        <color rgb="FF313829"/>
      </top>
      <bottom/>
      <diagonal/>
    </border>
    <border>
      <left/>
      <right style="medium">
        <color rgb="FF313829"/>
      </right>
      <top style="medium">
        <color rgb="FF313829"/>
      </top>
      <bottom/>
      <diagonal/>
    </border>
    <border>
      <left style="medium">
        <color rgb="FF313829"/>
      </left>
      <right/>
      <top/>
      <bottom/>
      <diagonal/>
    </border>
    <border>
      <left/>
      <right style="medium">
        <color rgb="FF313829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medium">
        <color rgb="FF313829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rgb="FF313829"/>
      </bottom>
      <diagonal/>
    </border>
    <border>
      <left/>
      <right/>
      <top/>
      <bottom style="medium">
        <color rgb="FF313829"/>
      </bottom>
      <diagonal/>
    </border>
    <border>
      <left/>
      <right style="medium">
        <color rgb="FF313829"/>
      </right>
      <top/>
      <bottom style="medium">
        <color rgb="FF313829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medium">
        <color rgb="FF313829"/>
      </bottom>
      <diagonal/>
    </border>
    <border>
      <left style="medium">
        <color rgb="FF313829"/>
      </left>
      <right/>
      <top style="thin">
        <color theme="2"/>
      </top>
      <bottom/>
      <diagonal/>
    </border>
    <border>
      <left style="medium">
        <color rgb="FF313829"/>
      </left>
      <right/>
      <top/>
      <bottom style="medium">
        <color rgb="FF313829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medium">
        <color rgb="FF313829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medium">
        <color rgb="FF313829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rgb="FF313829"/>
      </top>
      <bottom/>
      <diagonal/>
    </border>
    <border>
      <left/>
      <right/>
      <top style="thin">
        <color rgb="FF313829"/>
      </top>
      <bottom/>
      <diagonal/>
    </border>
    <border>
      <left/>
      <right style="medium">
        <color rgb="FF313829"/>
      </right>
      <top style="thin">
        <color rgb="FF313829"/>
      </top>
      <bottom/>
      <diagonal/>
    </border>
    <border>
      <left/>
      <right style="thin">
        <color theme="2"/>
      </right>
      <top style="thin">
        <color rgb="FF313829"/>
      </top>
      <bottom/>
      <diagonal/>
    </border>
    <border>
      <left style="medium">
        <color rgb="FF313829"/>
      </left>
      <right/>
      <top style="thin">
        <color rgb="FF313829"/>
      </top>
      <bottom/>
      <diagonal/>
    </border>
    <border>
      <left style="medium">
        <color rgb="FF313829"/>
      </left>
      <right/>
      <top/>
      <bottom style="thin">
        <color rgb="FF313829"/>
      </bottom>
      <diagonal/>
    </border>
    <border>
      <left/>
      <right/>
      <top/>
      <bottom style="thin">
        <color rgb="FF313829"/>
      </bottom>
      <diagonal/>
    </border>
    <border>
      <left/>
      <right style="medium">
        <color rgb="FF313829"/>
      </right>
      <top/>
      <bottom style="thin">
        <color rgb="FF313829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6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9" fillId="0" borderId="0" xfId="0" applyFont="1"/>
    <xf numFmtId="0" fontId="12" fillId="0" borderId="0" xfId="0" applyFont="1"/>
    <xf numFmtId="4" fontId="14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0" fillId="3" borderId="0" xfId="0" applyFill="1"/>
    <xf numFmtId="44" fontId="0" fillId="3" borderId="0" xfId="1" applyFont="1" applyFill="1"/>
    <xf numFmtId="0" fontId="18" fillId="0" borderId="0" xfId="0" applyFont="1" applyAlignment="1">
      <alignment vertical="center" wrapText="1"/>
    </xf>
    <xf numFmtId="0" fontId="0" fillId="5" borderId="0" xfId="0" applyFill="1"/>
    <xf numFmtId="44" fontId="0" fillId="5" borderId="0" xfId="1" applyFont="1" applyFill="1"/>
    <xf numFmtId="0" fontId="26" fillId="0" borderId="0" xfId="0" applyFont="1"/>
    <xf numFmtId="0" fontId="26" fillId="0" borderId="0" xfId="0" applyFont="1" applyAlignment="1">
      <alignment horizontal="center"/>
    </xf>
    <xf numFmtId="164" fontId="26" fillId="0" borderId="0" xfId="1" applyNumberFormat="1" applyFont="1" applyFill="1" applyBorder="1"/>
    <xf numFmtId="0" fontId="28" fillId="3" borderId="0" xfId="0" applyFont="1" applyFill="1" applyAlignment="1">
      <alignment vertical="center"/>
    </xf>
    <xf numFmtId="44" fontId="0" fillId="3" borderId="0" xfId="1" applyFont="1" applyFill="1" applyAlignment="1"/>
    <xf numFmtId="14" fontId="5" fillId="4" borderId="0" xfId="0" applyNumberFormat="1" applyFont="1" applyFill="1" applyAlignment="1">
      <alignment horizontal="center" vertical="center" wrapText="1"/>
    </xf>
    <xf numFmtId="14" fontId="26" fillId="0" borderId="0" xfId="0" applyNumberFormat="1" applyFont="1"/>
    <xf numFmtId="0" fontId="26" fillId="0" borderId="0" xfId="1" applyNumberFormat="1" applyFont="1" applyFill="1" applyBorder="1" applyAlignment="1">
      <alignment horizontal="center"/>
    </xf>
    <xf numFmtId="14" fontId="26" fillId="0" borderId="0" xfId="0" applyNumberFormat="1" applyFont="1" applyAlignment="1">
      <alignment horizontal="right"/>
    </xf>
    <xf numFmtId="0" fontId="26" fillId="0" borderId="0" xfId="1" applyNumberFormat="1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29" fillId="0" borderId="0" xfId="0" applyFont="1" applyAlignment="1">
      <alignment horizontal="center"/>
    </xf>
    <xf numFmtId="0" fontId="32" fillId="6" borderId="1" xfId="0" quotePrefix="1" applyFont="1" applyFill="1" applyBorder="1" applyAlignment="1">
      <alignment horizontal="center" vertical="center"/>
    </xf>
    <xf numFmtId="1" fontId="32" fillId="6" borderId="1" xfId="0" applyNumberFormat="1" applyFont="1" applyFill="1" applyBorder="1" applyAlignment="1">
      <alignment horizontal="center" vertical="center"/>
    </xf>
    <xf numFmtId="1" fontId="32" fillId="6" borderId="0" xfId="0" applyNumberFormat="1" applyFont="1" applyFill="1" applyAlignment="1">
      <alignment horizontal="center" vertical="center"/>
    </xf>
    <xf numFmtId="164" fontId="32" fillId="6" borderId="0" xfId="0" applyNumberFormat="1" applyFont="1" applyFill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" fillId="7" borderId="0" xfId="0" applyFont="1" applyFill="1" applyAlignment="1">
      <alignment horizontal="center"/>
    </xf>
    <xf numFmtId="0" fontId="0" fillId="7" borderId="0" xfId="0" applyFill="1"/>
    <xf numFmtId="0" fontId="33" fillId="8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1" fontId="31" fillId="7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/>
    </xf>
    <xf numFmtId="0" fontId="27" fillId="8" borderId="0" xfId="0" applyFont="1" applyFill="1" applyAlignment="1">
      <alignment horizontal="right" vertical="center"/>
    </xf>
    <xf numFmtId="0" fontId="30" fillId="8" borderId="0" xfId="0" applyFont="1" applyFill="1" applyAlignment="1">
      <alignment horizontal="right" vertical="center"/>
    </xf>
    <xf numFmtId="0" fontId="30" fillId="7" borderId="1" xfId="0" applyFont="1" applyFill="1" applyBorder="1" applyAlignment="1">
      <alignment horizontal="center"/>
    </xf>
    <xf numFmtId="0" fontId="30" fillId="8" borderId="0" xfId="0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8" fillId="7" borderId="7" xfId="0" applyFont="1" applyFill="1" applyBorder="1" applyAlignment="1">
      <alignment vertical="top"/>
    </xf>
    <xf numFmtId="0" fontId="8" fillId="7" borderId="0" xfId="0" applyFont="1" applyFill="1" applyAlignment="1">
      <alignment vertical="top"/>
    </xf>
    <xf numFmtId="0" fontId="8" fillId="7" borderId="8" xfId="0" applyFont="1" applyFill="1" applyBorder="1" applyAlignment="1">
      <alignment vertical="top"/>
    </xf>
    <xf numFmtId="0" fontId="0" fillId="7" borderId="7" xfId="0" applyFill="1" applyBorder="1"/>
    <xf numFmtId="0" fontId="6" fillId="7" borderId="0" xfId="0" applyFont="1" applyFill="1"/>
    <xf numFmtId="0" fontId="0" fillId="7" borderId="9" xfId="0" applyFill="1" applyBorder="1"/>
    <xf numFmtId="0" fontId="0" fillId="7" borderId="10" xfId="0" applyFill="1" applyBorder="1"/>
    <xf numFmtId="0" fontId="5" fillId="7" borderId="0" xfId="0" applyFont="1" applyFill="1"/>
    <xf numFmtId="0" fontId="0" fillId="7" borderId="8" xfId="0" applyFill="1" applyBorder="1"/>
    <xf numFmtId="0" fontId="27" fillId="7" borderId="0" xfId="0" applyFont="1" applyFill="1"/>
    <xf numFmtId="0" fontId="0" fillId="7" borderId="11" xfId="0" applyFill="1" applyBorder="1"/>
    <xf numFmtId="0" fontId="0" fillId="9" borderId="0" xfId="0" applyFill="1"/>
    <xf numFmtId="0" fontId="29" fillId="7" borderId="0" xfId="0" applyFont="1" applyFill="1"/>
    <xf numFmtId="0" fontId="32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27" xfId="0" applyBorder="1"/>
    <xf numFmtId="0" fontId="2" fillId="11" borderId="27" xfId="0" applyFont="1" applyFill="1" applyBorder="1"/>
    <xf numFmtId="0" fontId="2" fillId="11" borderId="27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0" xfId="0" applyFill="1"/>
    <xf numFmtId="0" fontId="37" fillId="2" borderId="0" xfId="0" applyFont="1" applyFill="1"/>
    <xf numFmtId="166" fontId="0" fillId="0" borderId="27" xfId="0" applyNumberFormat="1" applyBorder="1" applyAlignment="1">
      <alignment horizontal="center"/>
    </xf>
    <xf numFmtId="164" fontId="0" fillId="0" borderId="27" xfId="0" applyNumberFormat="1" applyBorder="1"/>
    <xf numFmtId="167" fontId="0" fillId="0" borderId="27" xfId="0" applyNumberFormat="1" applyBorder="1" applyAlignment="1">
      <alignment horizontal="center"/>
    </xf>
    <xf numFmtId="0" fontId="2" fillId="11" borderId="28" xfId="0" applyFont="1" applyFill="1" applyBorder="1" applyAlignment="1">
      <alignment horizontal="center"/>
    </xf>
    <xf numFmtId="0" fontId="37" fillId="0" borderId="27" xfId="0" applyFont="1" applyBorder="1"/>
    <xf numFmtId="0" fontId="5" fillId="13" borderId="27" xfId="0" applyFont="1" applyFill="1" applyBorder="1" applyAlignment="1">
      <alignment horizontal="center"/>
    </xf>
    <xf numFmtId="0" fontId="37" fillId="13" borderId="27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1" fillId="17" borderId="0" xfId="0" applyFont="1" applyFill="1"/>
    <xf numFmtId="0" fontId="0" fillId="17" borderId="0" xfId="0" applyFill="1"/>
    <xf numFmtId="14" fontId="6" fillId="4" borderId="34" xfId="0" applyNumberFormat="1" applyFont="1" applyFill="1" applyBorder="1" applyAlignment="1">
      <alignment horizontal="center"/>
    </xf>
    <xf numFmtId="0" fontId="26" fillId="16" borderId="0" xfId="0" applyFont="1" applyFill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42" fillId="18" borderId="0" xfId="0" applyFont="1" applyFill="1"/>
    <xf numFmtId="0" fontId="0" fillId="0" borderId="0" xfId="0" applyAlignment="1">
      <alignment horizontal="left" indent="1"/>
    </xf>
    <xf numFmtId="168" fontId="0" fillId="0" borderId="0" xfId="0" applyNumberFormat="1"/>
    <xf numFmtId="0" fontId="3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3" fillId="19" borderId="0" xfId="4" applyFont="1" applyFill="1"/>
    <xf numFmtId="3" fontId="0" fillId="0" borderId="0" xfId="0" applyNumberFormat="1"/>
    <xf numFmtId="0" fontId="41" fillId="0" borderId="0" xfId="0" applyFont="1"/>
    <xf numFmtId="0" fontId="0" fillId="0" borderId="0" xfId="0" applyAlignment="1">
      <alignment horizontal="center"/>
    </xf>
    <xf numFmtId="7" fontId="0" fillId="0" borderId="0" xfId="0" applyNumberFormat="1"/>
    <xf numFmtId="7" fontId="37" fillId="0" borderId="0" xfId="0" applyNumberFormat="1" applyFont="1" applyAlignment="1">
      <alignment horizontal="center"/>
    </xf>
    <xf numFmtId="0" fontId="0" fillId="0" borderId="0" xfId="0" applyNumberFormat="1"/>
    <xf numFmtId="0" fontId="37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65" fontId="21" fillId="2" borderId="19" xfId="0" applyNumberFormat="1" applyFont="1" applyFill="1" applyBorder="1" applyAlignment="1">
      <alignment horizontal="center" vertical="center"/>
    </xf>
    <xf numFmtId="165" fontId="21" fillId="2" borderId="20" xfId="0" applyNumberFormat="1" applyFont="1" applyFill="1" applyBorder="1" applyAlignment="1">
      <alignment horizontal="center" vertical="center"/>
    </xf>
    <xf numFmtId="165" fontId="21" fillId="2" borderId="21" xfId="0" applyNumberFormat="1" applyFont="1" applyFill="1" applyBorder="1" applyAlignment="1">
      <alignment horizontal="center" vertical="center"/>
    </xf>
    <xf numFmtId="165" fontId="21" fillId="2" borderId="22" xfId="0" applyNumberFormat="1" applyFont="1" applyFill="1" applyBorder="1" applyAlignment="1">
      <alignment horizontal="center" vertical="center"/>
    </xf>
    <xf numFmtId="165" fontId="21" fillId="2" borderId="0" xfId="0" applyNumberFormat="1" applyFont="1" applyFill="1" applyAlignment="1">
      <alignment horizontal="center" vertical="center"/>
    </xf>
    <xf numFmtId="165" fontId="21" fillId="2" borderId="23" xfId="0" applyNumberFormat="1" applyFont="1" applyFill="1" applyBorder="1" applyAlignment="1">
      <alignment horizontal="center" vertical="center"/>
    </xf>
    <xf numFmtId="165" fontId="21" fillId="2" borderId="24" xfId="0" applyNumberFormat="1" applyFont="1" applyFill="1" applyBorder="1" applyAlignment="1">
      <alignment horizontal="center" vertical="center"/>
    </xf>
    <xf numFmtId="165" fontId="21" fillId="2" borderId="25" xfId="0" applyNumberFormat="1" applyFont="1" applyFill="1" applyBorder="1" applyAlignment="1">
      <alignment horizontal="center" vertical="center"/>
    </xf>
    <xf numFmtId="165" fontId="21" fillId="2" borderId="2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165" fontId="40" fillId="0" borderId="52" xfId="0" applyNumberFormat="1" applyFont="1" applyBorder="1" applyAlignment="1">
      <alignment horizontal="center" vertical="center"/>
    </xf>
    <xf numFmtId="165" fontId="40" fillId="0" borderId="53" xfId="0" applyNumberFormat="1" applyFont="1" applyBorder="1" applyAlignment="1">
      <alignment horizontal="center" vertical="center"/>
    </xf>
    <xf numFmtId="165" fontId="40" fillId="0" borderId="54" xfId="0" applyNumberFormat="1" applyFont="1" applyBorder="1" applyAlignment="1">
      <alignment horizontal="center" vertical="center"/>
    </xf>
    <xf numFmtId="165" fontId="40" fillId="0" borderId="38" xfId="0" applyNumberFormat="1" applyFont="1" applyBorder="1" applyAlignment="1">
      <alignment horizontal="center" vertical="center"/>
    </xf>
    <xf numFmtId="165" fontId="40" fillId="0" borderId="0" xfId="0" applyNumberFormat="1" applyFont="1" applyAlignment="1">
      <alignment horizontal="center" vertical="center"/>
    </xf>
    <xf numFmtId="165" fontId="40" fillId="0" borderId="33" xfId="0" applyNumberFormat="1" applyFont="1" applyBorder="1" applyAlignment="1">
      <alignment horizontal="center" vertical="center"/>
    </xf>
    <xf numFmtId="165" fontId="40" fillId="0" borderId="47" xfId="0" applyNumberFormat="1" applyFont="1" applyBorder="1" applyAlignment="1">
      <alignment horizontal="center" vertical="center"/>
    </xf>
    <xf numFmtId="165" fontId="40" fillId="0" borderId="48" xfId="0" applyNumberFormat="1" applyFont="1" applyBorder="1" applyAlignment="1">
      <alignment horizontal="center" vertical="center"/>
    </xf>
    <xf numFmtId="165" fontId="40" fillId="0" borderId="49" xfId="0" applyNumberFormat="1" applyFont="1" applyBorder="1" applyAlignment="1">
      <alignment horizontal="center" vertical="center"/>
    </xf>
    <xf numFmtId="165" fontId="40" fillId="0" borderId="52" xfId="0" applyNumberFormat="1" applyFont="1" applyBorder="1" applyAlignment="1">
      <alignment horizontal="left" vertical="center"/>
    </xf>
    <xf numFmtId="165" fontId="40" fillId="0" borderId="53" xfId="0" applyNumberFormat="1" applyFont="1" applyBorder="1" applyAlignment="1">
      <alignment horizontal="left" vertical="center"/>
    </xf>
    <xf numFmtId="165" fontId="40" fillId="0" borderId="55" xfId="0" applyNumberFormat="1" applyFont="1" applyBorder="1" applyAlignment="1">
      <alignment horizontal="left" vertical="center"/>
    </xf>
    <xf numFmtId="165" fontId="40" fillId="0" borderId="38" xfId="0" applyNumberFormat="1" applyFont="1" applyBorder="1" applyAlignment="1">
      <alignment horizontal="left" vertical="center"/>
    </xf>
    <xf numFmtId="165" fontId="40" fillId="0" borderId="0" xfId="0" applyNumberFormat="1" applyFont="1" applyAlignment="1">
      <alignment horizontal="left" vertical="center"/>
    </xf>
    <xf numFmtId="165" fontId="40" fillId="0" borderId="43" xfId="0" applyNumberFormat="1" applyFont="1" applyBorder="1" applyAlignment="1">
      <alignment horizontal="left" vertical="center"/>
    </xf>
    <xf numFmtId="165" fontId="40" fillId="0" borderId="47" xfId="0" applyNumberFormat="1" applyFont="1" applyBorder="1" applyAlignment="1">
      <alignment horizontal="left" vertical="center"/>
    </xf>
    <xf numFmtId="165" fontId="40" fillId="0" borderId="48" xfId="0" applyNumberFormat="1" applyFont="1" applyBorder="1" applyAlignment="1">
      <alignment horizontal="left" vertical="center"/>
    </xf>
    <xf numFmtId="165" fontId="40" fillId="0" borderId="50" xfId="0" applyNumberFormat="1" applyFont="1" applyBorder="1" applyAlignment="1">
      <alignment horizontal="left" vertical="center"/>
    </xf>
    <xf numFmtId="0" fontId="39" fillId="12" borderId="56" xfId="0" applyFont="1" applyFill="1" applyBorder="1" applyAlignment="1">
      <alignment horizontal="center" vertical="center"/>
    </xf>
    <xf numFmtId="0" fontId="39" fillId="12" borderId="53" xfId="0" applyFont="1" applyFill="1" applyBorder="1" applyAlignment="1">
      <alignment horizontal="center" vertical="center"/>
    </xf>
    <xf numFmtId="0" fontId="39" fillId="12" borderId="55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9" fillId="12" borderId="43" xfId="0" applyFont="1" applyFill="1" applyBorder="1" applyAlignment="1">
      <alignment horizontal="center" vertical="center"/>
    </xf>
    <xf numFmtId="0" fontId="39" fillId="12" borderId="51" xfId="0" applyFont="1" applyFill="1" applyBorder="1" applyAlignment="1">
      <alignment horizontal="center" vertical="center"/>
    </xf>
    <xf numFmtId="0" fontId="39" fillId="12" borderId="48" xfId="0" applyFont="1" applyFill="1" applyBorder="1" applyAlignment="1">
      <alignment horizontal="center" vertical="center"/>
    </xf>
    <xf numFmtId="0" fontId="39" fillId="12" borderId="50" xfId="0" applyFont="1" applyFill="1" applyBorder="1" applyAlignment="1">
      <alignment horizontal="center" vertical="center"/>
    </xf>
    <xf numFmtId="0" fontId="38" fillId="3" borderId="29" xfId="0" applyFont="1" applyFill="1" applyBorder="1" applyAlignment="1">
      <alignment horizontal="center" vertical="center"/>
    </xf>
    <xf numFmtId="0" fontId="38" fillId="3" borderId="30" xfId="0" applyFont="1" applyFill="1" applyBorder="1" applyAlignment="1">
      <alignment horizontal="center" vertical="center"/>
    </xf>
    <xf numFmtId="0" fontId="38" fillId="3" borderId="31" xfId="0" applyFont="1" applyFill="1" applyBorder="1" applyAlignment="1">
      <alignment horizontal="center" vertical="center"/>
    </xf>
    <xf numFmtId="0" fontId="38" fillId="3" borderId="57" xfId="0" applyFont="1" applyFill="1" applyBorder="1" applyAlignment="1">
      <alignment horizontal="center" vertical="center"/>
    </xf>
    <xf numFmtId="0" fontId="38" fillId="3" borderId="58" xfId="0" applyFont="1" applyFill="1" applyBorder="1" applyAlignment="1">
      <alignment horizontal="center" vertical="center"/>
    </xf>
    <xf numFmtId="0" fontId="38" fillId="3" borderId="5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8" fillId="3" borderId="19" xfId="0" applyFont="1" applyFill="1" applyBorder="1" applyAlignment="1">
      <alignment horizontal="center" vertical="center"/>
    </xf>
    <xf numFmtId="0" fontId="38" fillId="3" borderId="20" xfId="0" applyFont="1" applyFill="1" applyBorder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25" xfId="0" applyFont="1" applyFill="1" applyBorder="1" applyAlignment="1">
      <alignment horizontal="center" vertical="center"/>
    </xf>
    <xf numFmtId="0" fontId="38" fillId="3" borderId="26" xfId="0" applyFont="1" applyFill="1" applyBorder="1" applyAlignment="1">
      <alignment horizontal="center" vertical="center"/>
    </xf>
    <xf numFmtId="0" fontId="22" fillId="15" borderId="19" xfId="0" applyFont="1" applyFill="1" applyBorder="1" applyAlignment="1">
      <alignment horizontal="center" vertical="center"/>
    </xf>
    <xf numFmtId="0" fontId="22" fillId="15" borderId="20" xfId="0" applyFont="1" applyFill="1" applyBorder="1" applyAlignment="1">
      <alignment horizontal="center" vertical="center"/>
    </xf>
    <xf numFmtId="0" fontId="22" fillId="15" borderId="21" xfId="0" applyFont="1" applyFill="1" applyBorder="1" applyAlignment="1">
      <alignment horizontal="center" vertical="center"/>
    </xf>
    <xf numFmtId="0" fontId="22" fillId="15" borderId="24" xfId="0" applyFont="1" applyFill="1" applyBorder="1" applyAlignment="1">
      <alignment horizontal="center" vertical="center"/>
    </xf>
    <xf numFmtId="0" fontId="22" fillId="15" borderId="25" xfId="0" applyFont="1" applyFill="1" applyBorder="1" applyAlignment="1">
      <alignment horizontal="center" vertical="center"/>
    </xf>
    <xf numFmtId="0" fontId="22" fillId="15" borderId="26" xfId="0" applyFont="1" applyFill="1" applyBorder="1" applyAlignment="1">
      <alignment horizontal="center" vertical="center"/>
    </xf>
    <xf numFmtId="2" fontId="21" fillId="2" borderId="19" xfId="5" applyNumberFormat="1" applyFont="1" applyFill="1" applyBorder="1" applyAlignment="1">
      <alignment horizontal="center" vertical="center"/>
    </xf>
    <xf numFmtId="2" fontId="21" fillId="2" borderId="20" xfId="5" applyNumberFormat="1" applyFont="1" applyFill="1" applyBorder="1" applyAlignment="1">
      <alignment horizontal="center" vertical="center"/>
    </xf>
    <xf numFmtId="2" fontId="21" fillId="2" borderId="21" xfId="5" applyNumberFormat="1" applyFont="1" applyFill="1" applyBorder="1" applyAlignment="1">
      <alignment horizontal="center" vertical="center"/>
    </xf>
    <xf numFmtId="2" fontId="21" fillId="2" borderId="22" xfId="5" applyNumberFormat="1" applyFont="1" applyFill="1" applyBorder="1" applyAlignment="1">
      <alignment horizontal="center" vertical="center"/>
    </xf>
    <xf numFmtId="2" fontId="21" fillId="2" borderId="0" xfId="5" applyNumberFormat="1" applyFont="1" applyFill="1" applyAlignment="1">
      <alignment horizontal="center" vertical="center"/>
    </xf>
    <xf numFmtId="2" fontId="21" fillId="2" borderId="23" xfId="5" applyNumberFormat="1" applyFont="1" applyFill="1" applyBorder="1" applyAlignment="1">
      <alignment horizontal="center" vertical="center"/>
    </xf>
    <xf numFmtId="2" fontId="21" fillId="2" borderId="24" xfId="5" applyNumberFormat="1" applyFont="1" applyFill="1" applyBorder="1" applyAlignment="1">
      <alignment horizontal="center" vertical="center"/>
    </xf>
    <xf numFmtId="2" fontId="21" fillId="2" borderId="25" xfId="5" applyNumberFormat="1" applyFont="1" applyFill="1" applyBorder="1" applyAlignment="1">
      <alignment horizontal="center" vertical="center"/>
    </xf>
    <xf numFmtId="2" fontId="21" fillId="2" borderId="26" xfId="5" applyNumberFormat="1" applyFont="1" applyFill="1" applyBorder="1" applyAlignment="1">
      <alignment horizontal="center" vertical="center"/>
    </xf>
    <xf numFmtId="169" fontId="21" fillId="2" borderId="19" xfId="3" applyNumberFormat="1" applyFont="1" applyFill="1" applyBorder="1" applyAlignment="1">
      <alignment horizontal="center" vertical="center"/>
    </xf>
    <xf numFmtId="169" fontId="21" fillId="2" borderId="20" xfId="3" applyNumberFormat="1" applyFont="1" applyFill="1" applyBorder="1" applyAlignment="1">
      <alignment horizontal="center" vertical="center"/>
    </xf>
    <xf numFmtId="169" fontId="21" fillId="2" borderId="21" xfId="3" applyNumberFormat="1" applyFont="1" applyFill="1" applyBorder="1" applyAlignment="1">
      <alignment horizontal="center" vertical="center"/>
    </xf>
    <xf numFmtId="169" fontId="21" fillId="2" borderId="22" xfId="3" applyNumberFormat="1" applyFont="1" applyFill="1" applyBorder="1" applyAlignment="1">
      <alignment horizontal="center" vertical="center"/>
    </xf>
    <xf numFmtId="169" fontId="21" fillId="2" borderId="0" xfId="3" applyNumberFormat="1" applyFont="1" applyFill="1" applyBorder="1" applyAlignment="1">
      <alignment horizontal="center" vertical="center"/>
    </xf>
    <xf numFmtId="169" fontId="21" fillId="2" borderId="23" xfId="3" applyNumberFormat="1" applyFont="1" applyFill="1" applyBorder="1" applyAlignment="1">
      <alignment horizontal="center" vertical="center"/>
    </xf>
    <xf numFmtId="169" fontId="21" fillId="2" borderId="24" xfId="3" applyNumberFormat="1" applyFont="1" applyFill="1" applyBorder="1" applyAlignment="1">
      <alignment horizontal="center" vertical="center"/>
    </xf>
    <xf numFmtId="169" fontId="21" fillId="2" borderId="25" xfId="3" applyNumberFormat="1" applyFont="1" applyFill="1" applyBorder="1" applyAlignment="1">
      <alignment horizontal="center" vertical="center"/>
    </xf>
    <xf numFmtId="169" fontId="21" fillId="2" borderId="26" xfId="3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39" fillId="12" borderId="45" xfId="0" applyFont="1" applyFill="1" applyBorder="1" applyAlignment="1">
      <alignment horizontal="center" vertical="center"/>
    </xf>
    <xf numFmtId="0" fontId="39" fillId="12" borderId="36" xfId="0" applyFont="1" applyFill="1" applyBorder="1" applyAlignment="1">
      <alignment horizontal="center" vertical="center"/>
    </xf>
    <xf numFmtId="0" fontId="39" fillId="12" borderId="42" xfId="0" applyFont="1" applyFill="1" applyBorder="1" applyAlignment="1">
      <alignment horizontal="center" vertical="center"/>
    </xf>
    <xf numFmtId="165" fontId="40" fillId="0" borderId="35" xfId="0" applyNumberFormat="1" applyFont="1" applyBorder="1" applyAlignment="1">
      <alignment horizontal="left" vertical="center"/>
    </xf>
    <xf numFmtId="165" fontId="40" fillId="0" borderId="36" xfId="0" applyNumberFormat="1" applyFont="1" applyBorder="1" applyAlignment="1">
      <alignment horizontal="left" vertical="center"/>
    </xf>
    <xf numFmtId="165" fontId="40" fillId="0" borderId="42" xfId="0" applyNumberFormat="1" applyFont="1" applyBorder="1" applyAlignment="1">
      <alignment horizontal="left" vertical="center"/>
    </xf>
    <xf numFmtId="165" fontId="40" fillId="0" borderId="35" xfId="0" applyNumberFormat="1" applyFont="1" applyBorder="1" applyAlignment="1">
      <alignment horizontal="center" vertical="center"/>
    </xf>
    <xf numFmtId="165" fontId="40" fillId="0" borderId="36" xfId="0" applyNumberFormat="1" applyFont="1" applyBorder="1" applyAlignment="1">
      <alignment horizontal="center" vertical="center"/>
    </xf>
    <xf numFmtId="165" fontId="40" fillId="0" borderId="3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3" fillId="14" borderId="19" xfId="0" applyFont="1" applyFill="1" applyBorder="1" applyAlignment="1">
      <alignment horizontal="center"/>
    </xf>
    <xf numFmtId="0" fontId="23" fillId="14" borderId="20" xfId="0" applyFont="1" applyFill="1" applyBorder="1" applyAlignment="1">
      <alignment horizontal="center"/>
    </xf>
    <xf numFmtId="0" fontId="23" fillId="14" borderId="21" xfId="0" applyFont="1" applyFill="1" applyBorder="1" applyAlignment="1">
      <alignment horizontal="center"/>
    </xf>
    <xf numFmtId="0" fontId="23" fillId="14" borderId="22" xfId="0" applyFont="1" applyFill="1" applyBorder="1" applyAlignment="1">
      <alignment horizontal="center"/>
    </xf>
    <xf numFmtId="0" fontId="23" fillId="14" borderId="0" xfId="0" applyFont="1" applyFill="1" applyAlignment="1">
      <alignment horizontal="center"/>
    </xf>
    <xf numFmtId="0" fontId="23" fillId="14" borderId="23" xfId="0" applyFont="1" applyFill="1" applyBorder="1" applyAlignment="1">
      <alignment horizontal="center"/>
    </xf>
    <xf numFmtId="0" fontId="39" fillId="12" borderId="46" xfId="0" applyFont="1" applyFill="1" applyBorder="1" applyAlignment="1">
      <alignment horizontal="center" vertical="center"/>
    </xf>
    <xf numFmtId="0" fontId="39" fillId="12" borderId="40" xfId="0" applyFont="1" applyFill="1" applyBorder="1" applyAlignment="1">
      <alignment horizontal="center" vertical="center"/>
    </xf>
    <xf numFmtId="0" fontId="39" fillId="12" borderId="44" xfId="0" applyFont="1" applyFill="1" applyBorder="1" applyAlignment="1">
      <alignment horizontal="center" vertical="center"/>
    </xf>
    <xf numFmtId="165" fontId="40" fillId="0" borderId="39" xfId="0" applyNumberFormat="1" applyFont="1" applyBorder="1" applyAlignment="1">
      <alignment horizontal="left" vertical="center"/>
    </xf>
    <xf numFmtId="165" fontId="40" fillId="0" borderId="40" xfId="0" applyNumberFormat="1" applyFont="1" applyBorder="1" applyAlignment="1">
      <alignment horizontal="left" vertical="center"/>
    </xf>
    <xf numFmtId="165" fontId="40" fillId="0" borderId="44" xfId="0" applyNumberFormat="1" applyFont="1" applyBorder="1" applyAlignment="1">
      <alignment horizontal="left" vertical="center"/>
    </xf>
    <xf numFmtId="165" fontId="40" fillId="0" borderId="39" xfId="0" applyNumberFormat="1" applyFont="1" applyBorder="1" applyAlignment="1">
      <alignment horizontal="center" vertical="center"/>
    </xf>
    <xf numFmtId="165" fontId="40" fillId="0" borderId="40" xfId="0" applyNumberFormat="1" applyFont="1" applyBorder="1" applyAlignment="1">
      <alignment horizontal="center" vertical="center"/>
    </xf>
    <xf numFmtId="165" fontId="40" fillId="0" borderId="41" xfId="0" applyNumberFormat="1" applyFont="1" applyBorder="1" applyAlignment="1">
      <alignment horizontal="center" vertical="center"/>
    </xf>
    <xf numFmtId="0" fontId="34" fillId="7" borderId="0" xfId="0" applyFont="1" applyFill="1" applyAlignment="1">
      <alignment horizont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3" fillId="7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10" fontId="27" fillId="2" borderId="0" xfId="3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horizontal="right" vertical="center"/>
    </xf>
    <xf numFmtId="0" fontId="34" fillId="7" borderId="18" xfId="0" applyFont="1" applyFill="1" applyBorder="1" applyAlignment="1">
      <alignment horizontal="right" vertical="center"/>
    </xf>
    <xf numFmtId="164" fontId="32" fillId="2" borderId="12" xfId="0" applyNumberFormat="1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10" fontId="32" fillId="2" borderId="12" xfId="3" applyNumberFormat="1" applyFont="1" applyFill="1" applyBorder="1" applyAlignment="1">
      <alignment horizontal="center" vertical="center"/>
    </xf>
    <xf numFmtId="10" fontId="32" fillId="2" borderId="13" xfId="3" applyNumberFormat="1" applyFont="1" applyFill="1" applyBorder="1" applyAlignment="1">
      <alignment horizontal="center" vertical="center"/>
    </xf>
    <xf numFmtId="10" fontId="32" fillId="2" borderId="14" xfId="3" applyNumberFormat="1" applyFont="1" applyFill="1" applyBorder="1" applyAlignment="1">
      <alignment horizontal="center" vertical="center"/>
    </xf>
    <xf numFmtId="10" fontId="32" fillId="2" borderId="15" xfId="3" applyNumberFormat="1" applyFont="1" applyFill="1" applyBorder="1" applyAlignment="1">
      <alignment horizontal="center" vertical="center"/>
    </xf>
    <xf numFmtId="10" fontId="32" fillId="2" borderId="16" xfId="3" applyNumberFormat="1" applyFont="1" applyFill="1" applyBorder="1" applyAlignment="1">
      <alignment horizontal="center" vertical="center"/>
    </xf>
    <xf numFmtId="10" fontId="32" fillId="2" borderId="17" xfId="3" applyNumberFormat="1" applyFont="1" applyFill="1" applyBorder="1" applyAlignment="1">
      <alignment horizontal="center" vertical="center"/>
    </xf>
    <xf numFmtId="0" fontId="32" fillId="2" borderId="12" xfId="0" applyFont="1" applyFill="1" applyBorder="1" applyAlignment="1" applyProtection="1">
      <alignment horizontal="center" vertical="center"/>
      <protection locked="0"/>
    </xf>
    <xf numFmtId="0" fontId="32" fillId="2" borderId="13" xfId="0" applyFont="1" applyFill="1" applyBorder="1" applyAlignment="1" applyProtection="1">
      <alignment horizontal="center" vertical="center"/>
      <protection locked="0"/>
    </xf>
    <xf numFmtId="0" fontId="32" fillId="2" borderId="14" xfId="0" applyFont="1" applyFill="1" applyBorder="1" applyAlignment="1" applyProtection="1">
      <alignment horizontal="center" vertical="center"/>
      <protection locked="0"/>
    </xf>
    <xf numFmtId="0" fontId="32" fillId="2" borderId="15" xfId="0" applyFont="1" applyFill="1" applyBorder="1" applyAlignment="1" applyProtection="1">
      <alignment horizontal="center" vertical="center"/>
      <protection locked="0"/>
    </xf>
    <xf numFmtId="0" fontId="32" fillId="2" borderId="16" xfId="0" applyFont="1" applyFill="1" applyBorder="1" applyAlignment="1" applyProtection="1">
      <alignment horizontal="center" vertical="center"/>
      <protection locked="0"/>
    </xf>
    <xf numFmtId="0" fontId="32" fillId="2" borderId="17" xfId="0" applyFont="1" applyFill="1" applyBorder="1" applyAlignment="1" applyProtection="1">
      <alignment horizontal="center" vertical="center"/>
      <protection locked="0"/>
    </xf>
    <xf numFmtId="0" fontId="32" fillId="2" borderId="12" xfId="0" applyFont="1" applyFill="1" applyBorder="1" applyAlignment="1">
      <alignment horizontal="center" vertical="center"/>
    </xf>
    <xf numFmtId="164" fontId="32" fillId="2" borderId="13" xfId="0" applyNumberFormat="1" applyFont="1" applyFill="1" applyBorder="1" applyAlignment="1">
      <alignment horizontal="center" vertical="center"/>
    </xf>
    <xf numFmtId="164" fontId="32" fillId="2" borderId="14" xfId="0" applyNumberFormat="1" applyFont="1" applyFill="1" applyBorder="1" applyAlignment="1">
      <alignment horizontal="center" vertical="center"/>
    </xf>
    <xf numFmtId="164" fontId="32" fillId="2" borderId="15" xfId="0" applyNumberFormat="1" applyFont="1" applyFill="1" applyBorder="1" applyAlignment="1">
      <alignment horizontal="center" vertical="center"/>
    </xf>
    <xf numFmtId="164" fontId="32" fillId="2" borderId="16" xfId="0" applyNumberFormat="1" applyFont="1" applyFill="1" applyBorder="1" applyAlignment="1">
      <alignment horizontal="center" vertical="center"/>
    </xf>
    <xf numFmtId="164" fontId="32" fillId="2" borderId="17" xfId="0" applyNumberFormat="1" applyFont="1" applyFill="1" applyBorder="1" applyAlignment="1">
      <alignment horizontal="center" vertical="center"/>
    </xf>
    <xf numFmtId="0" fontId="35" fillId="10" borderId="4" xfId="0" applyFont="1" applyFill="1" applyBorder="1" applyAlignment="1">
      <alignment horizontal="center" vertical="center"/>
    </xf>
    <xf numFmtId="0" fontId="35" fillId="10" borderId="5" xfId="0" applyFont="1" applyFill="1" applyBorder="1" applyAlignment="1">
      <alignment horizontal="center" vertical="center"/>
    </xf>
    <xf numFmtId="0" fontId="35" fillId="10" borderId="6" xfId="0" applyFont="1" applyFill="1" applyBorder="1" applyAlignment="1">
      <alignment horizontal="center" vertical="center"/>
    </xf>
    <xf numFmtId="0" fontId="35" fillId="10" borderId="7" xfId="0" applyFont="1" applyFill="1" applyBorder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6" fillId="7" borderId="16" xfId="0" applyFont="1" applyFill="1" applyBorder="1" applyAlignment="1">
      <alignment horizontal="center" vertical="top"/>
    </xf>
  </cellXfs>
  <cellStyles count="6">
    <cellStyle name="Hiperlink" xfId="4" builtinId="8"/>
    <cellStyle name="Hyperlink" xfId="2" xr:uid="{00000000-000B-0000-0000-000008000000}"/>
    <cellStyle name="Moeda" xfId="1" builtinId="4"/>
    <cellStyle name="Normal" xfId="0" builtinId="0"/>
    <cellStyle name="Porcentagem" xfId="3" builtinId="5"/>
    <cellStyle name="Vírgula" xfId="5" builtinId="3"/>
  </cellStyles>
  <dxfs count="64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02060"/>
        </patternFill>
      </fill>
    </dxf>
  </dxfs>
  <tableStyles count="2" defaultTableStyle="TableStyleMedium2" defaultPivotStyle="PivotStyleLight16">
    <tableStyle name="Estilo de Segmentação de Dados 1" pivot="0" table="0" count="3" xr9:uid="{85CA00B8-E853-44CE-8C92-CAF2879A0DAE}"/>
    <tableStyle name="Estilo de Tabela 1" pivot="0" count="1" xr9:uid="{7A5046BA-566E-471B-A33D-508741E9D76C}">
      <tableStyleElement type="wholeTable" dxfId="63"/>
    </tableStyle>
  </tableStyles>
  <colors>
    <mruColors>
      <color rgb="FFA58C5F"/>
      <color rgb="FFB29D76"/>
      <color rgb="FFB39563"/>
      <color rgb="FF1A261A"/>
      <color rgb="FF343C2C"/>
      <color rgb="FF313829"/>
      <color rgb="FF787674"/>
      <color rgb="FF373A3A"/>
      <color rgb="FFEBC282"/>
      <color rgb="FFE7B667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2" tint="-9.9948118533890809E-2"/>
            </patternFill>
          </fill>
        </dxf>
        <dxf>
          <font>
            <color theme="0"/>
          </font>
          <fill>
            <patternFill>
              <bgColor theme="6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1.xml"/><Relationship Id="rId21" Type="http://schemas.openxmlformats.org/officeDocument/2006/relationships/pivotCacheDefinition" Target="pivotCache/pivotCacheDefinition9.xml"/><Relationship Id="rId34" Type="http://schemas.openxmlformats.org/officeDocument/2006/relationships/styles" Target="styles.xml"/><Relationship Id="rId42" Type="http://schemas.openxmlformats.org/officeDocument/2006/relationships/customXml" Target="../customXml/item4.xml"/><Relationship Id="rId47" Type="http://schemas.openxmlformats.org/officeDocument/2006/relationships/customXml" Target="../customXml/item9.xml"/><Relationship Id="rId50" Type="http://schemas.openxmlformats.org/officeDocument/2006/relationships/customXml" Target="../customXml/item12.xml"/><Relationship Id="rId55" Type="http://schemas.openxmlformats.org/officeDocument/2006/relationships/customXml" Target="../customXml/item17.xml"/><Relationship Id="rId63" Type="http://schemas.openxmlformats.org/officeDocument/2006/relationships/customXml" Target="../customXml/item25.xml"/><Relationship Id="rId68" Type="http://schemas.openxmlformats.org/officeDocument/2006/relationships/customXml" Target="../customXml/item3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microsoft.com/office/2007/relationships/slicerCache" Target="slicerCaches/slicerCache4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32" Type="http://schemas.openxmlformats.org/officeDocument/2006/relationships/theme" Target="theme/theme1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2.xml"/><Relationship Id="rId45" Type="http://schemas.openxmlformats.org/officeDocument/2006/relationships/customXml" Target="../customXml/item7.xml"/><Relationship Id="rId53" Type="http://schemas.openxmlformats.org/officeDocument/2006/relationships/customXml" Target="../customXml/item15.xml"/><Relationship Id="rId58" Type="http://schemas.openxmlformats.org/officeDocument/2006/relationships/customXml" Target="../customXml/item20.xml"/><Relationship Id="rId66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3.xml"/><Relationship Id="rId1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microsoft.com/office/2007/relationships/slicerCache" Target="slicerCaches/slicerCache2.xml"/><Relationship Id="rId30" Type="http://schemas.microsoft.com/office/2007/relationships/slicerCache" Target="slicerCaches/slicerCache5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5.xml"/><Relationship Id="rId48" Type="http://schemas.openxmlformats.org/officeDocument/2006/relationships/customXml" Target="../customXml/item10.xml"/><Relationship Id="rId56" Type="http://schemas.openxmlformats.org/officeDocument/2006/relationships/customXml" Target="../customXml/item18.xml"/><Relationship Id="rId64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connections" Target="connections.xml"/><Relationship Id="rId38" Type="http://schemas.openxmlformats.org/officeDocument/2006/relationships/calcChain" Target="calcChain.xml"/><Relationship Id="rId46" Type="http://schemas.openxmlformats.org/officeDocument/2006/relationships/customXml" Target="../customXml/item8.xml"/><Relationship Id="rId59" Type="http://schemas.openxmlformats.org/officeDocument/2006/relationships/customXml" Target="../customXml/item21.xml"/><Relationship Id="rId67" Type="http://schemas.openxmlformats.org/officeDocument/2006/relationships/customXml" Target="../customXml/item29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3.xml"/><Relationship Id="rId54" Type="http://schemas.openxmlformats.org/officeDocument/2006/relationships/customXml" Target="../customXml/item16.xml"/><Relationship Id="rId62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microsoft.com/office/2007/relationships/slicerCache" Target="slicerCaches/slicerCache3.xml"/><Relationship Id="rId36" Type="http://schemas.openxmlformats.org/officeDocument/2006/relationships/sheetMetadata" Target="metadata.xml"/><Relationship Id="rId49" Type="http://schemas.openxmlformats.org/officeDocument/2006/relationships/customXml" Target="../customXml/item11.xml"/><Relationship Id="rId57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31" Type="http://schemas.microsoft.com/office/2011/relationships/timelineCache" Target="timelineCaches/timelineCache1.xml"/><Relationship Id="rId44" Type="http://schemas.openxmlformats.org/officeDocument/2006/relationships/customXml" Target="../customXml/item6.xml"/><Relationship Id="rId52" Type="http://schemas.openxmlformats.org/officeDocument/2006/relationships/customXml" Target="../customXml/item14.xml"/><Relationship Id="rId60" Type="http://schemas.openxmlformats.org/officeDocument/2006/relationships/customXml" Target="../customXml/item22.xml"/><Relationship Id="rId65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343C2C"/>
            </a:solidFill>
            <a:round/>
          </a:ln>
          <a:effectLst/>
        </c:spPr>
        <c:marker>
          <c:symbol val="diamond"/>
          <c:size val="7"/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diamond"/>
          <c:size val="7"/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Custo da Compra</c:v>
          </c:tx>
          <c:spPr>
            <a:ln w="28575" cap="rnd">
              <a:solidFill>
                <a:srgbClr val="343C2C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>
                  <a:lumMod val="75000"/>
                  <a:lumOff val="25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abr</c:v>
              </c:pt>
              <c:pt idx="1">
                <c:v>ago</c:v>
              </c:pt>
              <c:pt idx="2">
                <c:v>dez</c:v>
              </c:pt>
              <c:pt idx="3">
                <c:v>fev</c:v>
              </c:pt>
              <c:pt idx="4">
                <c:v>jan</c:v>
              </c:pt>
              <c:pt idx="5">
                <c:v>jul</c:v>
              </c:pt>
              <c:pt idx="6">
                <c:v>jun</c:v>
              </c:pt>
              <c:pt idx="7">
                <c:v>mai</c:v>
              </c:pt>
              <c:pt idx="8">
                <c:v>mar</c:v>
              </c:pt>
              <c:pt idx="9">
                <c:v>nov</c:v>
              </c:pt>
              <c:pt idx="10">
                <c:v>out</c:v>
              </c:pt>
              <c:pt idx="11">
                <c:v>set</c:v>
              </c:pt>
            </c:strLit>
          </c:cat>
          <c:val>
            <c:numLit>
              <c:formatCode>General</c:formatCode>
              <c:ptCount val="12"/>
              <c:pt idx="0">
                <c:v>362.5</c:v>
              </c:pt>
              <c:pt idx="1">
                <c:v>431.25</c:v>
              </c:pt>
              <c:pt idx="2">
                <c:v>410</c:v>
              </c:pt>
              <c:pt idx="3">
                <c:v>378.75</c:v>
              </c:pt>
              <c:pt idx="4">
                <c:v>297.5</c:v>
              </c:pt>
              <c:pt idx="5">
                <c:v>355</c:v>
              </c:pt>
              <c:pt idx="6">
                <c:v>376.25</c:v>
              </c:pt>
              <c:pt idx="7">
                <c:v>723.75</c:v>
              </c:pt>
              <c:pt idx="8">
                <c:v>922.5</c:v>
              </c:pt>
              <c:pt idx="9">
                <c:v>218.75</c:v>
              </c:pt>
              <c:pt idx="10">
                <c:v>247.75</c:v>
              </c:pt>
              <c:pt idx="11">
                <c:v>806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2B5-4F63-9540-A1311E79BB4E}"/>
            </c:ext>
          </c:extLst>
        </c:ser>
        <c:ser>
          <c:idx val="1"/>
          <c:order val="1"/>
          <c:tx>
            <c:v>Preço de Venda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abr</c:v>
              </c:pt>
              <c:pt idx="1">
                <c:v>ago</c:v>
              </c:pt>
              <c:pt idx="2">
                <c:v>dez</c:v>
              </c:pt>
              <c:pt idx="3">
                <c:v>fev</c:v>
              </c:pt>
              <c:pt idx="4">
                <c:v>jan</c:v>
              </c:pt>
              <c:pt idx="5">
                <c:v>jul</c:v>
              </c:pt>
              <c:pt idx="6">
                <c:v>jun</c:v>
              </c:pt>
              <c:pt idx="7">
                <c:v>mai</c:v>
              </c:pt>
              <c:pt idx="8">
                <c:v>mar</c:v>
              </c:pt>
              <c:pt idx="9">
                <c:v>nov</c:v>
              </c:pt>
              <c:pt idx="10">
                <c:v>out</c:v>
              </c:pt>
              <c:pt idx="11">
                <c:v>set</c:v>
              </c:pt>
            </c:strLit>
          </c:cat>
          <c:val>
            <c:numLit>
              <c:formatCode>"R$"#,##0.00_);\("R$"#,##0.00\)</c:formatCode>
              <c:ptCount val="12"/>
              <c:pt idx="0">
                <c:v>1507.5</c:v>
              </c:pt>
              <c:pt idx="1">
                <c:v>1621.5</c:v>
              </c:pt>
              <c:pt idx="2">
                <c:v>1195.5</c:v>
              </c:pt>
              <c:pt idx="3">
                <c:v>1652.5</c:v>
              </c:pt>
              <c:pt idx="4">
                <c:v>1475</c:v>
              </c:pt>
              <c:pt idx="5">
                <c:v>2217.5</c:v>
              </c:pt>
              <c:pt idx="6">
                <c:v>1145</c:v>
              </c:pt>
              <c:pt idx="7">
                <c:v>1372</c:v>
              </c:pt>
              <c:pt idx="8">
                <c:v>2302.5</c:v>
              </c:pt>
              <c:pt idx="9">
                <c:v>811.5</c:v>
              </c:pt>
              <c:pt idx="10">
                <c:v>1508</c:v>
              </c:pt>
              <c:pt idx="11">
                <c:v>2234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2B5-4F63-9540-A1311E79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770623"/>
        <c:axId val="1905768223"/>
      </c:lineChart>
      <c:catAx>
        <c:axId val="19057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5768223"/>
        <c:crosses val="autoZero"/>
        <c:auto val="1"/>
        <c:lblAlgn val="ctr"/>
        <c:lblOffset val="100"/>
        <c:noMultiLvlLbl val="0"/>
        <c:extLst/>
      </c:catAx>
      <c:valAx>
        <c:axId val="19057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5770623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com Excel - Dashboard Básico Final.xlsx]Tab Din Dashboard!Entradas_Saidas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 Din Dashboard'!$B$3</c:f>
              <c:strCache>
                <c:ptCount val="1"/>
                <c:pt idx="0">
                  <c:v>Qtd Comprada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 Din Dashboard'!$A$4:$A$16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'Tab Din Dashboard'!$B$4:$B$16</c:f>
              <c:numCache>
                <c:formatCode>General</c:formatCode>
                <c:ptCount val="12"/>
                <c:pt idx="0">
                  <c:v>350</c:v>
                </c:pt>
                <c:pt idx="1">
                  <c:v>345</c:v>
                </c:pt>
                <c:pt idx="2">
                  <c:v>240</c:v>
                </c:pt>
                <c:pt idx="3">
                  <c:v>440</c:v>
                </c:pt>
                <c:pt idx="4">
                  <c:v>390</c:v>
                </c:pt>
                <c:pt idx="5">
                  <c:v>350</c:v>
                </c:pt>
                <c:pt idx="6">
                  <c:v>410</c:v>
                </c:pt>
                <c:pt idx="7">
                  <c:v>285</c:v>
                </c:pt>
                <c:pt idx="8">
                  <c:v>640</c:v>
                </c:pt>
                <c:pt idx="9">
                  <c:v>280</c:v>
                </c:pt>
                <c:pt idx="10">
                  <c:v>236</c:v>
                </c:pt>
                <c:pt idx="11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150-853B-150641ED6ED9}"/>
            </c:ext>
          </c:extLst>
        </c:ser>
        <c:ser>
          <c:idx val="1"/>
          <c:order val="1"/>
          <c:tx>
            <c:strRef>
              <c:f>'Tab Din Dashboard'!$C$3</c:f>
              <c:strCache>
                <c:ptCount val="1"/>
                <c:pt idx="0">
                  <c:v>Qtd Vendida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 Din Dashboard'!$A$4:$A$16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'Tab Din Dashboard'!$C$4:$C$16</c:f>
              <c:numCache>
                <c:formatCode>General</c:formatCode>
                <c:ptCount val="12"/>
                <c:pt idx="0">
                  <c:v>215</c:v>
                </c:pt>
                <c:pt idx="1">
                  <c:v>263</c:v>
                </c:pt>
                <c:pt idx="2">
                  <c:v>168</c:v>
                </c:pt>
                <c:pt idx="3">
                  <c:v>235</c:v>
                </c:pt>
                <c:pt idx="4">
                  <c:v>210</c:v>
                </c:pt>
                <c:pt idx="5">
                  <c:v>295</c:v>
                </c:pt>
                <c:pt idx="6">
                  <c:v>170</c:v>
                </c:pt>
                <c:pt idx="7">
                  <c:v>177</c:v>
                </c:pt>
                <c:pt idx="8">
                  <c:v>315</c:v>
                </c:pt>
                <c:pt idx="9">
                  <c:v>119</c:v>
                </c:pt>
                <c:pt idx="10">
                  <c:v>163</c:v>
                </c:pt>
                <c:pt idx="11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9-4150-853B-150641ED6ED9}"/>
            </c:ext>
          </c:extLst>
        </c:ser>
        <c:ser>
          <c:idx val="2"/>
          <c:order val="2"/>
          <c:tx>
            <c:strRef>
              <c:f>'Tab Din Dashboard'!$D$3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 Din Dashboard'!$A$4:$A$16</c:f>
              <c:strCache>
                <c:ptCount val="12"/>
                <c:pt idx="0">
                  <c:v>abr</c:v>
                </c:pt>
                <c:pt idx="1">
                  <c:v>ago</c:v>
                </c:pt>
                <c:pt idx="2">
                  <c:v>dez</c:v>
                </c:pt>
                <c:pt idx="3">
                  <c:v>fev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mai</c:v>
                </c:pt>
                <c:pt idx="8">
                  <c:v>mar</c:v>
                </c:pt>
                <c:pt idx="9">
                  <c:v>nov</c:v>
                </c:pt>
                <c:pt idx="10">
                  <c:v>out</c:v>
                </c:pt>
                <c:pt idx="11">
                  <c:v>set</c:v>
                </c:pt>
              </c:strCache>
            </c:strRef>
          </c:cat>
          <c:val>
            <c:numRef>
              <c:f>'Tab Din Dashboard'!$D$4:$D$16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A9-4150-853B-150641ED6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97168"/>
        <c:axId val="974784688"/>
      </c:barChart>
      <c:catAx>
        <c:axId val="9747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784688"/>
        <c:crosses val="autoZero"/>
        <c:auto val="1"/>
        <c:lblAlgn val="ctr"/>
        <c:lblOffset val="1"/>
        <c:noMultiLvlLbl val="0"/>
      </c:catAx>
      <c:valAx>
        <c:axId val="974784688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7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com Excel - Dashboard Básico Final.xlsx]Tab Din Dashboard!Top5_Produtos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38100" bIns="3600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 Din Dashboard'!$J$3</c:f>
              <c:strCache>
                <c:ptCount val="1"/>
                <c:pt idx="0">
                  <c:v>Qtd 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0" tIns="0" rIns="38100" bIns="3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Din Dashboard'!$I$4:$I$9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'Tab Din Dashboard'!$J$4:$J$9</c:f>
              <c:numCache>
                <c:formatCode>General</c:formatCode>
                <c:ptCount val="5"/>
                <c:pt idx="0">
                  <c:v>945</c:v>
                </c:pt>
                <c:pt idx="1">
                  <c:v>500</c:v>
                </c:pt>
                <c:pt idx="2">
                  <c:v>400</c:v>
                </c:pt>
                <c:pt idx="3">
                  <c:v>245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8-4CF7-BCE4-B54D6953E8A9}"/>
            </c:ext>
          </c:extLst>
        </c:ser>
        <c:ser>
          <c:idx val="1"/>
          <c:order val="1"/>
          <c:tx>
            <c:strRef>
              <c:f>'Tab Din Dashboard'!$K$3</c:f>
              <c:strCache>
                <c:ptCount val="1"/>
                <c:pt idx="0">
                  <c:v>Qtd Comprada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 Din Dashboard'!$I$4:$I$9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Coxinha</c:v>
                </c:pt>
                <c:pt idx="4">
                  <c:v>Refrigerante</c:v>
                </c:pt>
              </c:strCache>
            </c:strRef>
          </c:cat>
          <c:val>
            <c:numRef>
              <c:f>'Tab Din Dashboard'!$K$4:$K$9</c:f>
              <c:numCache>
                <c:formatCode>General</c:formatCode>
                <c:ptCount val="5"/>
                <c:pt idx="0">
                  <c:v>1635</c:v>
                </c:pt>
                <c:pt idx="1">
                  <c:v>750</c:v>
                </c:pt>
                <c:pt idx="2">
                  <c:v>620</c:v>
                </c:pt>
                <c:pt idx="3">
                  <c:v>550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8-4CF7-BCE4-B54D6953E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4735104"/>
        <c:axId val="734733664"/>
      </c:barChart>
      <c:catAx>
        <c:axId val="73473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4733664"/>
        <c:crosses val="autoZero"/>
        <c:auto val="1"/>
        <c:lblAlgn val="ctr"/>
        <c:lblOffset val="100"/>
        <c:noMultiLvlLbl val="0"/>
      </c:catAx>
      <c:valAx>
        <c:axId val="7347336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73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[BI com Excel - Dashboard Básico Final.xlsx]Tab Din Dashboard!Ranking Faturado</c:name>
    <c:fmtId val="6"/>
  </c:pivotSource>
  <c:chart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>
            <a:outerShdw blurRad="50800" dist="50800" dir="5400000" algn="ctr" rotWithShape="0">
              <a:schemeClr val="accent3"/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 Din Dashboard'!$P$3</c:f>
              <c:strCache>
                <c:ptCount val="1"/>
                <c:pt idx="0">
                  <c:v>Soma de Preço de Venda</c:v>
                </c:pt>
              </c:strCache>
            </c:strRef>
          </c:tx>
          <c:spPr>
            <a:solidFill>
              <a:schemeClr val="accent3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Din Dashboard'!$O$4:$O$9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Refrigerante</c:v>
                </c:pt>
                <c:pt idx="4">
                  <c:v>Coxinha</c:v>
                </c:pt>
              </c:strCache>
            </c:strRef>
          </c:cat>
          <c:val>
            <c:numRef>
              <c:f>'Tab Din Dashboard'!$P$4:$P$9</c:f>
              <c:numCache>
                <c:formatCode>"R$"#,##0.00_);\("R$"#,##0.00\)</c:formatCode>
                <c:ptCount val="5"/>
                <c:pt idx="0">
                  <c:v>5670</c:v>
                </c:pt>
                <c:pt idx="1">
                  <c:v>4250</c:v>
                </c:pt>
                <c:pt idx="2">
                  <c:v>3000</c:v>
                </c:pt>
                <c:pt idx="3">
                  <c:v>1680</c:v>
                </c:pt>
                <c:pt idx="4">
                  <c:v>1592.5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E-4668-8DC1-B474A68AB0E6}"/>
            </c:ext>
          </c:extLst>
        </c:ser>
        <c:ser>
          <c:idx val="1"/>
          <c:order val="1"/>
          <c:tx>
            <c:strRef>
              <c:f>'Tab Din Dashboard'!$Q$3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3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 Din Dashboard'!$O$4:$O$9</c:f>
              <c:strCache>
                <c:ptCount val="5"/>
                <c:pt idx="0">
                  <c:v>Café</c:v>
                </c:pt>
                <c:pt idx="1">
                  <c:v>Chocolate Quente</c:v>
                </c:pt>
                <c:pt idx="2">
                  <c:v>Pão de Queijo</c:v>
                </c:pt>
                <c:pt idx="3">
                  <c:v>Refrigerante</c:v>
                </c:pt>
                <c:pt idx="4">
                  <c:v>Coxinha</c:v>
                </c:pt>
              </c:strCache>
            </c:strRef>
          </c:cat>
          <c:val>
            <c:numRef>
              <c:f>'Tab Din Dashboard'!$Q$4:$Q$9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E-4668-8DC1-B474A68AB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61343200"/>
        <c:axId val="1961343680"/>
      </c:barChart>
      <c:catAx>
        <c:axId val="196134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1343680"/>
        <c:crosses val="autoZero"/>
        <c:auto val="1"/>
        <c:lblAlgn val="ctr"/>
        <c:lblOffset val="100"/>
        <c:noMultiLvlLbl val="0"/>
      </c:catAx>
      <c:valAx>
        <c:axId val="19613436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196134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[BI com Excel - Dashboard Básico Final.xlsx]Tab Din Dashboard!Comprada_Vendida</c:name>
    <c:fmtId val="11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3852876356387315"/>
              <c:y val="-0.1330285797608632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" lastClr="FFFFFF"/>
                    </a:solidFill>
                    <a:effectLst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9985A461-45C3-47C0-881A-068D86A8A632}" type="CATEGORYNAME">
                  <a:rPr lang="en-US">
                    <a:solidFill>
                      <a:sysClr val="window" lastClr="FFFFFF"/>
                    </a:solidFill>
                    <a:effectLst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</a:rPr>
                  <a:pPr>
                    <a:defRPr sz="1000" b="1" i="0" u="none" strike="noStrike" kern="1200" spc="0" baseline="0">
                      <a:solidFill>
                        <a:sysClr val="window" lastClr="FFFFFF"/>
                      </a:solidFill>
                      <a:effectLst>
                        <a:outerShdw blurRad="50800" dist="38100" algn="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[]</a:t>
                </a:fld>
                <a:r>
                  <a:rPr lang="en-US" baseline="0">
                    <a:solidFill>
                      <a:sysClr val="window" lastClr="FFFFFF"/>
                    </a:solidFill>
                    <a:effectLst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</a:rPr>
                  <a:t>
</a:t>
                </a:r>
                <a:fld id="{B370804D-CE3A-421B-B19B-DD80763DF292}" type="PERCENTAGE">
                  <a:rPr lang="en-US" sz="2000" baseline="0">
                    <a:solidFill>
                      <a:sysClr val="window" lastClr="FFFFFF"/>
                    </a:solidFill>
                    <a:effectLst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</a:rPr>
                  <a:pPr>
                    <a:defRPr sz="1000" b="1" i="0" u="none" strike="noStrike" kern="1200" spc="0" baseline="0">
                      <a:solidFill>
                        <a:sysClr val="window" lastClr="FFFFFF"/>
                      </a:solidFill>
                      <a:effectLst>
                        <a:outerShdw blurRad="50800" dist="38100" algn="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[]</a:t>
                </a:fld>
                <a:endParaRPr lang="en-US" baseline="0">
                  <a:solidFill>
                    <a:sysClr val="window" lastClr="FFFFFF"/>
                  </a:solidFill>
                  <a:effectLst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c:rich>
          </c:tx>
          <c:spPr>
            <a:noFill/>
            <a:ln>
              <a:noFill/>
            </a:ln>
            <a:effectLst/>
          </c:sp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3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bg1"/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9B81FAC5-9275-4CB3-AE01-4D3991AF4371}" type="CATEGORYNAME">
                  <a:rPr lang="en-US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[]</a:t>
                </a:fld>
                <a:r>
                  <a:rPr lang="en-US" baseline="0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t>
</a:t>
                </a:r>
                <a:fld id="{6320E325-403F-491D-9326-E6F54667685F}" type="PERCENTAGE">
                  <a:rPr lang="en-US" sz="2000" baseline="0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[]</a:t>
                </a:fld>
                <a:endParaRPr lang="en-US" baseline="0"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3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 Din Dashboard'!$G$3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2E-475C-8B33-EBB5110A0A18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2E-475C-8B33-EBB5110A0A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 Din Dashboard'!$F$4:$F$5</c:f>
              <c:strCache>
                <c:ptCount val="2"/>
                <c:pt idx="0">
                  <c:v>Total Comprado</c:v>
                </c:pt>
                <c:pt idx="1">
                  <c:v>Total Vendido</c:v>
                </c:pt>
              </c:strCache>
            </c:strRef>
          </c:cat>
          <c:val>
            <c:numRef>
              <c:f>'Tab Din Dashboard'!$G$4:$G$5</c:f>
              <c:numCache>
                <c:formatCode>#,##0</c:formatCode>
                <c:ptCount val="2"/>
                <c:pt idx="0">
                  <c:v>4365</c:v>
                </c:pt>
                <c:pt idx="1">
                  <c:v>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2E-475C-8B33-EBB5110A0A1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Vendida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Café</c:v>
              </c:pt>
              <c:pt idx="1">
                <c:v>Cerveja</c:v>
              </c:pt>
              <c:pt idx="2">
                <c:v>Chocolate Quente</c:v>
              </c:pt>
              <c:pt idx="3">
                <c:v>Coxinha</c:v>
              </c:pt>
              <c:pt idx="4">
                <c:v>Frango</c:v>
              </c:pt>
              <c:pt idx="5">
                <c:v>Hamburguer</c:v>
              </c:pt>
              <c:pt idx="6">
                <c:v>Mini Pizza</c:v>
              </c:pt>
              <c:pt idx="7">
                <c:v>Pão de Queijo</c:v>
              </c:pt>
              <c:pt idx="8">
                <c:v>Refrigerante</c:v>
              </c:pt>
              <c:pt idx="9">
                <c:v>Suco de Laranja</c:v>
              </c:pt>
            </c:strLit>
          </c:cat>
          <c:val>
            <c:numLit>
              <c:formatCode>General</c:formatCode>
              <c:ptCount val="10"/>
              <c:pt idx="0">
                <c:v>945</c:v>
              </c:pt>
              <c:pt idx="1">
                <c:v>25</c:v>
              </c:pt>
              <c:pt idx="2">
                <c:v>500</c:v>
              </c:pt>
              <c:pt idx="3">
                <c:v>245</c:v>
              </c:pt>
              <c:pt idx="4">
                <c:v>30</c:v>
              </c:pt>
              <c:pt idx="5">
                <c:v>50</c:v>
              </c:pt>
              <c:pt idx="6">
                <c:v>90</c:v>
              </c:pt>
              <c:pt idx="7">
                <c:v>400</c:v>
              </c:pt>
              <c:pt idx="8">
                <c:v>210</c:v>
              </c:pt>
              <c:pt idx="9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C8A1-48BC-B717-0F0876C8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02767"/>
        <c:axId val="611203727"/>
      </c:barChart>
      <c:catAx>
        <c:axId val="61120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03727"/>
        <c:crosses val="autoZero"/>
        <c:auto val="1"/>
        <c:lblAlgn val="ctr"/>
        <c:lblOffset val="100"/>
        <c:noMultiLvlLbl val="0"/>
        <c:extLst/>
      </c:catAx>
      <c:valAx>
        <c:axId val="6112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02767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Comprada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Água</c:v>
              </c:pt>
              <c:pt idx="1">
                <c:v>Café</c:v>
              </c:pt>
              <c:pt idx="2">
                <c:v>Cerveja</c:v>
              </c:pt>
              <c:pt idx="3">
                <c:v>Chocolate Quente</c:v>
              </c:pt>
              <c:pt idx="4">
                <c:v>Coxinha</c:v>
              </c:pt>
              <c:pt idx="5">
                <c:v>Frango</c:v>
              </c:pt>
              <c:pt idx="6">
                <c:v>Hamburguer</c:v>
              </c:pt>
              <c:pt idx="7">
                <c:v>Mini Pizza</c:v>
              </c:pt>
              <c:pt idx="8">
                <c:v>Pão de Queijo</c:v>
              </c:pt>
              <c:pt idx="9">
                <c:v>Refrigerante</c:v>
              </c:pt>
              <c:pt idx="10">
                <c:v>Suco de Laranja</c:v>
              </c:pt>
            </c:strLit>
          </c:cat>
          <c:val>
            <c:numLit>
              <c:formatCode>General</c:formatCode>
              <c:ptCount val="11"/>
              <c:pt idx="0">
                <c:v>100</c:v>
              </c:pt>
              <c:pt idx="1">
                <c:v>1635</c:v>
              </c:pt>
              <c:pt idx="2">
                <c:v>50</c:v>
              </c:pt>
              <c:pt idx="3">
                <c:v>750</c:v>
              </c:pt>
              <c:pt idx="4">
                <c:v>550</c:v>
              </c:pt>
              <c:pt idx="5">
                <c:v>50</c:v>
              </c:pt>
              <c:pt idx="6">
                <c:v>60</c:v>
              </c:pt>
              <c:pt idx="7">
                <c:v>100</c:v>
              </c:pt>
              <c:pt idx="8">
                <c:v>620</c:v>
              </c:pt>
              <c:pt idx="9">
                <c:v>350</c:v>
              </c:pt>
              <c:pt idx="10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93C9-4EB5-9BB5-B93B4A901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704303"/>
        <c:axId val="1818185119"/>
      </c:barChart>
      <c:catAx>
        <c:axId val="139170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8185119"/>
        <c:crosses val="autoZero"/>
        <c:auto val="1"/>
        <c:lblAlgn val="ctr"/>
        <c:lblOffset val="100"/>
        <c:noMultiLvlLbl val="0"/>
        <c:extLst/>
      </c:catAx>
      <c:valAx>
        <c:axId val="181818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704303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ab Din Dashboard'!A1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15052</xdr:colOff>
      <xdr:row>9</xdr:row>
      <xdr:rowOff>14214</xdr:rowOff>
    </xdr:from>
    <xdr:to>
      <xdr:col>29</xdr:col>
      <xdr:colOff>109178</xdr:colOff>
      <xdr:row>9</xdr:row>
      <xdr:rowOff>14214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2C68D8B-FC6B-4889-8500-246D0F124237}"/>
            </a:ext>
            <a:ext uri="{147F2762-F138-4A5C-976F-8EAC2B608ADB}">
              <a16:predDERef xmlns:a16="http://schemas.microsoft.com/office/drawing/2014/main" pred="{1F36D36E-57C6-45FA-9E9A-4EF9D0FC68A8}"/>
            </a:ext>
          </a:extLst>
        </xdr:cNvPr>
        <xdr:cNvCxnSpPr/>
      </xdr:nvCxnSpPr>
      <xdr:spPr>
        <a:xfrm>
          <a:off x="319852" y="1042914"/>
          <a:ext cx="4208926" cy="0"/>
        </a:xfrm>
        <a:prstGeom prst="line">
          <a:avLst/>
        </a:prstGeom>
        <a:ln w="19050">
          <a:solidFill>
            <a:srgbClr val="775A4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48996</xdr:colOff>
      <xdr:row>2</xdr:row>
      <xdr:rowOff>42010</xdr:rowOff>
    </xdr:from>
    <xdr:to>
      <xdr:col>28</xdr:col>
      <xdr:colOff>111225</xdr:colOff>
      <xdr:row>7</xdr:row>
      <xdr:rowOff>16708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4E050CF-13DE-4047-8AAB-8FF225BB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4996" y="270610"/>
          <a:ext cx="2043429" cy="546198"/>
        </a:xfrm>
        <a:prstGeom prst="rect">
          <a:avLst/>
        </a:prstGeom>
      </xdr:spPr>
    </xdr:pic>
    <xdr:clientData/>
  </xdr:twoCellAnchor>
  <xdr:twoCellAnchor>
    <xdr:from>
      <xdr:col>24</xdr:col>
      <xdr:colOff>20054</xdr:colOff>
      <xdr:row>14</xdr:row>
      <xdr:rowOff>17044</xdr:rowOff>
    </xdr:from>
    <xdr:to>
      <xdr:col>78</xdr:col>
      <xdr:colOff>130342</xdr:colOff>
      <xdr:row>31</xdr:row>
      <xdr:rowOff>80210</xdr:rowOff>
    </xdr:to>
    <xdr:graphicFrame macro="">
      <xdr:nvGraphicFramePr>
        <xdr:cNvPr id="4" name="Grafico_Fat_Desp">
          <a:extLst>
            <a:ext uri="{FF2B5EF4-FFF2-40B4-BE49-F238E27FC236}">
              <a16:creationId xmlns:a16="http://schemas.microsoft.com/office/drawing/2014/main" id="{48AFEF39-244D-4F84-7EE2-A65176AB1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9525</xdr:colOff>
      <xdr:row>36</xdr:row>
      <xdr:rowOff>100965</xdr:rowOff>
    </xdr:from>
    <xdr:to>
      <xdr:col>60</xdr:col>
      <xdr:colOff>123825</xdr:colOff>
      <xdr:row>49</xdr:row>
      <xdr:rowOff>104775</xdr:rowOff>
    </xdr:to>
    <xdr:graphicFrame macro="">
      <xdr:nvGraphicFramePr>
        <xdr:cNvPr id="8" name="Gráfic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D42874-0BA0-A9ED-3368-FBC024D1F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81</xdr:col>
      <xdr:colOff>9525</xdr:colOff>
      <xdr:row>14</xdr:row>
      <xdr:rowOff>5715</xdr:rowOff>
    </xdr:from>
    <xdr:to>
      <xdr:col>103</xdr:col>
      <xdr:colOff>142875</xdr:colOff>
      <xdr:row>31</xdr:row>
      <xdr:rowOff>104775</xdr:rowOff>
    </xdr:to>
    <xdr:graphicFrame macro="">
      <xdr:nvGraphicFramePr>
        <xdr:cNvPr id="9" name="Gráfic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B29DE9-09BD-A954-112F-9A3ACF285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81</xdr:col>
      <xdr:colOff>1905</xdr:colOff>
      <xdr:row>35</xdr:row>
      <xdr:rowOff>15240</xdr:rowOff>
    </xdr:from>
    <xdr:to>
      <xdr:col>103</xdr:col>
      <xdr:colOff>142875</xdr:colOff>
      <xdr:row>49</xdr:row>
      <xdr:rowOff>85725</xdr:rowOff>
    </xdr:to>
    <xdr:graphicFrame macro="">
      <xdr:nvGraphicFramePr>
        <xdr:cNvPr id="13" name="Gráfico 3">
          <a:extLst>
            <a:ext uri="{FF2B5EF4-FFF2-40B4-BE49-F238E27FC236}">
              <a16:creationId xmlns:a16="http://schemas.microsoft.com/office/drawing/2014/main" id="{6367D035-C596-D72D-1573-F69AD2C02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0</xdr:colOff>
      <xdr:row>35</xdr:row>
      <xdr:rowOff>19050</xdr:rowOff>
    </xdr:from>
    <xdr:to>
      <xdr:col>78</xdr:col>
      <xdr:colOff>123825</xdr:colOff>
      <xdr:row>49</xdr:row>
      <xdr:rowOff>85725</xdr:rowOff>
    </xdr:to>
    <xdr:graphicFrame macro="">
      <xdr:nvGraphicFramePr>
        <xdr:cNvPr id="2" name="Gráfico 6">
          <a:extLst>
            <a:ext uri="{FF2B5EF4-FFF2-40B4-BE49-F238E27FC236}">
              <a16:creationId xmlns:a16="http://schemas.microsoft.com/office/drawing/2014/main" id="{2F92EDA9-157A-3120-9C8B-844C757CD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152399</xdr:colOff>
      <xdr:row>25</xdr:row>
      <xdr:rowOff>57150</xdr:rowOff>
    </xdr:from>
    <xdr:to>
      <xdr:col>23</xdr:col>
      <xdr:colOff>47624</xdr:colOff>
      <xdr:row>49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to 1">
              <a:extLst>
                <a:ext uri="{FF2B5EF4-FFF2-40B4-BE49-F238E27FC236}">
                  <a16:creationId xmlns:a16="http://schemas.microsoft.com/office/drawing/2014/main" id="{C9899B88-4106-BCE4-86CC-4F630C9109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799" y="2914650"/>
              <a:ext cx="3248025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142876</xdr:colOff>
      <xdr:row>12</xdr:row>
      <xdr:rowOff>11430</xdr:rowOff>
    </xdr:from>
    <xdr:to>
      <xdr:col>22</xdr:col>
      <xdr:colOff>9525</xdr:colOff>
      <xdr:row>25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mpresa">
              <a:extLst>
                <a:ext uri="{FF2B5EF4-FFF2-40B4-BE49-F238E27FC236}">
                  <a16:creationId xmlns:a16="http://schemas.microsoft.com/office/drawing/2014/main" id="{54D680CD-5438-E175-5097-2BAB9B709E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6" y="1383030"/>
              <a:ext cx="3067049" cy="1560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361949</xdr:colOff>
      <xdr:row>1</xdr:row>
      <xdr:rowOff>171450</xdr:rowOff>
    </xdr:from>
    <xdr:to>
      <xdr:col>31</xdr:col>
      <xdr:colOff>409576</xdr:colOff>
      <xdr:row>8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 (Mês)">
              <a:extLst>
                <a:ext uri="{FF2B5EF4-FFF2-40B4-BE49-F238E27FC236}">
                  <a16:creationId xmlns:a16="http://schemas.microsoft.com/office/drawing/2014/main" id="{FC8D4BB6-9AB9-B4F1-CCE9-D3185D2049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499" y="352425"/>
              <a:ext cx="3473452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292100</xdr:colOff>
      <xdr:row>20</xdr:row>
      <xdr:rowOff>58737</xdr:rowOff>
    </xdr:from>
    <xdr:to>
      <xdr:col>7</xdr:col>
      <xdr:colOff>225425</xdr:colOff>
      <xdr:row>35</xdr:row>
      <xdr:rowOff>93662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B12AA0-A14F-5CF3-B3E2-3FD492FFF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120650</xdr:colOff>
      <xdr:row>20</xdr:row>
      <xdr:rowOff>20637</xdr:rowOff>
    </xdr:from>
    <xdr:to>
      <xdr:col>21</xdr:col>
      <xdr:colOff>292100</xdr:colOff>
      <xdr:row>35</xdr:row>
      <xdr:rowOff>55562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67B7AD-7EE4-0703-0148-23C253DF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942976</xdr:colOff>
      <xdr:row>1</xdr:row>
      <xdr:rowOff>158751</xdr:rowOff>
    </xdr:from>
    <xdr:to>
      <xdr:col>17</xdr:col>
      <xdr:colOff>428625</xdr:colOff>
      <xdr:row>9</xdr:row>
      <xdr:rowOff>44451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AE638187-C921-7D13-28DA-5D0CDD041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7201" y="342901"/>
              <a:ext cx="2924174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501650</xdr:colOff>
      <xdr:row>1</xdr:row>
      <xdr:rowOff>161925</xdr:rowOff>
    </xdr:from>
    <xdr:to>
      <xdr:col>15</xdr:col>
      <xdr:colOff>520700</xdr:colOff>
      <xdr:row>9</xdr:row>
      <xdr:rowOff>130175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ornecedor">
              <a:extLst>
                <a:ext uri="{FF2B5EF4-FFF2-40B4-BE49-F238E27FC236}">
                  <a16:creationId xmlns:a16="http://schemas.microsoft.com/office/drawing/2014/main" id="{E47E9DCF-8511-2887-083C-3B4E309C43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5850" y="339725"/>
              <a:ext cx="1495425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38100</xdr:colOff>
      <xdr:row>37</xdr:row>
      <xdr:rowOff>122218</xdr:rowOff>
    </xdr:from>
    <xdr:to>
      <xdr:col>15</xdr:col>
      <xdr:colOff>1710571</xdr:colOff>
      <xdr:row>49</xdr:row>
      <xdr:rowOff>143303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EF10373-4801-4028-8E11-6C1CD1585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5008543"/>
          <a:ext cx="5903476" cy="2192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2</xdr:col>
      <xdr:colOff>189230</xdr:colOff>
      <xdr:row>34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to">
              <a:extLst>
                <a:ext uri="{FF2B5EF4-FFF2-40B4-BE49-F238E27FC236}">
                  <a16:creationId xmlns:a16="http://schemas.microsoft.com/office/drawing/2014/main" id="{EC06B0CC-F3E0-1DE5-9EE4-4E38747D0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886325"/>
              <a:ext cx="3473450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926235</xdr:colOff>
      <xdr:row>0</xdr:row>
      <xdr:rowOff>654917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193099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507432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393224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</xdr:colOff>
      <xdr:row>0</xdr:row>
      <xdr:rowOff>76199</xdr:rowOff>
    </xdr:from>
    <xdr:to>
      <xdr:col>5</xdr:col>
      <xdr:colOff>372689</xdr:colOff>
      <xdr:row>0</xdr:row>
      <xdr:rowOff>637309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4A4C03-ADA0-4574-85F8-78F72B92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23553</xdr:colOff>
      <xdr:row>0</xdr:row>
      <xdr:rowOff>76199</xdr:rowOff>
    </xdr:from>
    <xdr:to>
      <xdr:col>3</xdr:col>
      <xdr:colOff>45029</xdr:colOff>
      <xdr:row>0</xdr:row>
      <xdr:rowOff>637309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B480CB-C864-4D0A-8790-49E349F1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5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0</xdr:row>
      <xdr:rowOff>60960</xdr:rowOff>
    </xdr:from>
    <xdr:to>
      <xdr:col>15</xdr:col>
      <xdr:colOff>67196</xdr:colOff>
      <xdr:row>0</xdr:row>
      <xdr:rowOff>622070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AF63C5-019A-43E3-B90C-29B774B6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60960"/>
          <a:ext cx="2216036" cy="561110"/>
        </a:xfrm>
        <a:prstGeom prst="rect">
          <a:avLst/>
        </a:prstGeom>
      </xdr:spPr>
    </xdr:pic>
    <xdr:clientData/>
  </xdr:twoCellAnchor>
</xdr:wsDr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89583334" backgroundQuery="1" createdVersion="8" refreshedVersion="8" minRefreshableVersion="3" recordCount="0" supportSubquery="1" supportAdvancedDrill="1" xr:uid="{CD24663E-B77F-4FEB-B850-D83961B35B66}">
  <cacheSource type="external" connectionId="2"/>
  <cacheFields count="5">
    <cacheField name="[TB_Produtos].[Produto].[Produto]" caption="Produto" numFmtId="0" hierarchy="30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TB_Entradas].[Data].[Data]" caption="Data" numFmtId="0" hierarchy="18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2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Custo Compra]" caption="Soma de Custo Compra" numFmtId="0" hierarchy="47" level="32767"/>
    <cacheField name="[Measures].[Soma de Quantidade Comprada]" caption="Soma de Quantidade Comprada" numFmtId="0" hierarchy="45" level="32767"/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1"/>
      </fieldsUsage>
    </cacheHierarchy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2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91203704" backgroundQuery="1" createdVersion="8" refreshedVersion="8" minRefreshableVersion="3" recordCount="0" supportSubquery="1" supportAdvancedDrill="1" xr:uid="{CA596C66-036D-4EAD-BA86-CCCA613F5862}">
  <cacheSource type="external" connectionId="2"/>
  <cacheFields count="3">
    <cacheField name="[TB_Produtos].[Produto].[Produto]" caption="Produto" numFmtId="0" hierarchy="30" level="1">
      <sharedItems count="27">
        <s v="Açúcar"/>
        <s v="Água"/>
        <s v="Café"/>
        <s v="Cerveja"/>
        <s v="Chá"/>
        <s v="Chantilly"/>
        <s v="Chocolate Quente"/>
        <s v="Coxinha"/>
        <s v="Empada"/>
        <s v="Enroladinho"/>
        <s v="Esfiha"/>
        <s v="Frango"/>
        <s v="Hamburguer"/>
        <s v="Leite"/>
        <s v="Manteiga"/>
        <s v="Mini Pizza"/>
        <s v="Mortadela"/>
        <s v="Pão"/>
        <s v="Pão de Queijo"/>
        <s v="Peito de Peru"/>
        <s v="Presunto"/>
        <s v="Queijo"/>
        <s v="Quibe"/>
        <s v="Refrigerante"/>
        <s v="Requeijão"/>
        <s v="Risoles"/>
        <s v="Suco de Laranja"/>
      </sharedItems>
    </cacheField>
    <cacheField name="[Measures].[Soma de Preço Unitário]" caption="Soma de Preço Unitário" numFmtId="0" hierarchy="43" level="32767"/>
    <cacheField name="[Measures].[Soma de Estoque Mínimo]" caption="Soma de Estoque Mínimo" numFmtId="0" hierarchy="44" level="32767"/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93518521" backgroundQuery="1" createdVersion="8" refreshedVersion="8" minRefreshableVersion="3" recordCount="0" supportSubquery="1" supportAdvancedDrill="1" xr:uid="{F5B306EE-F26F-4C12-B925-626BD406A954}">
  <cacheSource type="external" connectionId="2"/>
  <cacheFields count="4">
    <cacheField name="[TB_Produtos].[Produto].[Produto]" caption="Produto" numFmtId="0" hierarchy="30" level="1">
      <sharedItems count="11">
        <s v="Água"/>
        <s v="Cerveja"/>
        <s v="Refrigerante"/>
        <s v="Frango"/>
        <s v="Hamburguer"/>
        <s v="Café"/>
        <s v="Chocolate Quente"/>
        <s v="Mini Pizza"/>
        <s v="Suco de Laranja"/>
        <s v="Coxinha"/>
        <s v="Pão de Queijo"/>
      </sharedItems>
    </cacheField>
    <cacheField name="[Measures].[Soma de Quantidade Comprada]" caption="Soma de Quantidade Comprada" numFmtId="0" hierarchy="45" level="32767"/>
    <cacheField name="[TB_Fornecedor].[Empresa].[Empresa]" caption="Empresa" numFmtId="0" hierarchy="25" level="1">
      <sharedItems count="4">
        <s v="Distribuídora KS"/>
        <s v="Frigorífico Z"/>
        <s v="Mercado Express"/>
        <s v="Salgados Gran"/>
      </sharedItems>
    </cacheField>
    <cacheField name="[Measures].[Soma de Custo Compra]" caption="Soma de Custo Compra" numFmtId="0" hierarchy="47" level="32767"/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2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94907407" backgroundQuery="1" createdVersion="8" refreshedVersion="8" minRefreshableVersion="3" recordCount="0" supportSubquery="1" supportAdvancedDrill="1" xr:uid="{2DBEAE32-92E0-4958-8E2C-F99B551620E9}">
  <cacheSource type="external" connectionId="2"/>
  <cacheFields count="4">
    <cacheField name="[TB_Produtos].[Produto].[Produto]" caption="Produto" numFmtId="0" hierarchy="30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Comprada]" caption="Soma de Quantidade Comprada" numFmtId="0" hierarchy="45" level="32767"/>
    <cacheField name="[TB_Entradas].[Data].[Data]" caption="Data" numFmtId="0" hierarchy="18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2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2"/>
      </fieldsUsage>
    </cacheHierarchy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3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35563657411" backgroundQuery="1" createdVersion="8" refreshedVersion="8" minRefreshableVersion="3" recordCount="0" supportSubquery="1" supportAdvancedDrill="1" xr:uid="{A4434040-AF2A-430A-9054-744EC80D9391}">
  <cacheSource type="external" connectionId="2"/>
  <cacheFields count="3">
    <cacheField name="[TB_Produtos].[Produto].[Produto]" caption="Produto" numFmtId="0" hierarchy="30" level="1">
      <sharedItems count="5">
        <s v="Café"/>
        <s v="Chocolate Quente"/>
        <s v="Coxinha"/>
        <s v="Pão de Queijo"/>
        <s v="Refrigerante"/>
      </sharedItems>
    </cacheField>
    <cacheField name="[Measures].[Soma de Quantidade Vendida]" caption="Soma de Quantidade Vendida" numFmtId="0" hierarchy="48" level="32767"/>
    <cacheField name="[Measures].[Soma de Quantidade Comprada]" caption="Soma de Quantidade Comprada" numFmtId="0" hierarchy="45" level="32767"/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38094675927" backgroundQuery="1" createdVersion="8" refreshedVersion="8" minRefreshableVersion="3" recordCount="0" supportSubquery="1" supportAdvancedDrill="1" xr:uid="{BDAB3E6B-3DA0-44B4-B6D7-4D9443003F34}">
  <cacheSource type="external" connectionId="2"/>
  <cacheFields count="3">
    <cacheField name="[TB_Produtos].[Produto].[Produto]" caption="Produto" numFmtId="0" hierarchy="30" level="1">
      <sharedItems count="5">
        <s v="Café"/>
        <s v="Chocolate Quente"/>
        <s v="Coxinha"/>
        <s v="Pão de Queijo"/>
        <s v="Refrigerante"/>
      </sharedItems>
    </cacheField>
    <cacheField name="[Measures].[Soma de Preço de Venda]" caption="Soma de Preço de Venda" numFmtId="0" hierarchy="50" level="32767"/>
    <cacheField name="[Measures].[_Total Preco Venda Status]" caption="_Total Preco Venda Status" numFmtId="0" hierarchy="67" level="32767"/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oneField="1" hidden="1">
      <fieldsUsage count="1">
        <fieldUsage x="2"/>
      </fieldsUsage>
    </cacheHierarchy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4140787037" backgroundQuery="1" createdVersion="8" refreshedVersion="8" minRefreshableVersion="3" recordCount="0" supportSubquery="1" supportAdvancedDrill="1" xr:uid="{CCAE8B1E-0DB4-4897-B880-1A43BAD80D24}">
  <cacheSource type="external" connectionId="2"/>
  <cacheFields count="2">
    <cacheField name="[Measures].[Despesas]" caption="Despesas" numFmtId="0" hierarchy="52" level="32767"/>
    <cacheField name="[TB_Produtos].[Produto].[Produto]" caption="Produto" numFmtId="0" hierarchy="30" level="1">
      <sharedItems containsSemiMixedTypes="0" containsNonDate="0" containsString="0"/>
    </cacheField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1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 oneField="1">
      <fieldsUsage count="1">
        <fieldUsage x="0"/>
      </fieldsUsage>
    </cacheHierarchy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41408333332" backgroundQuery="1" createdVersion="8" refreshedVersion="8" minRefreshableVersion="3" recordCount="0" supportSubquery="1" supportAdvancedDrill="1" xr:uid="{9211AEF0-0B0A-4EDF-A74B-6E4C660060FA}">
  <cacheSource type="external" connectionId="2"/>
  <cacheFields count="3">
    <cacheField name="[Measures].[Total Preco Venda]" caption="Total Preco Venda" numFmtId="0" hierarchy="56" level="32767"/>
    <cacheField name="[Measures].[Media Venda]" caption="Media Venda" numFmtId="0" hierarchy="53" level="32767"/>
    <cacheField name="[TB_Produtos].[Produto].[Produto]" caption="Produto" numFmtId="0" hierarchy="30" level="1">
      <sharedItems containsSemiMixedTypes="0" containsNonDate="0" containsString="0"/>
    </cacheField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 oneField="1">
      <fieldsUsage count="1">
        <fieldUsage x="1"/>
      </fieldsUsage>
    </cacheHierarchy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 oneField="1">
      <fieldsUsage count="1">
        <fieldUsage x="0"/>
      </fieldsUsage>
    </cacheHierarchy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41408796294" backgroundQuery="1" createdVersion="8" refreshedVersion="8" minRefreshableVersion="3" recordCount="0" supportSubquery="1" supportAdvancedDrill="1" xr:uid="{BDDF2FC4-C32B-4910-89A8-E0C826D0F063}">
  <cacheSource type="external" connectionId="2"/>
  <cacheFields count="3">
    <cacheField name="[Measures].[Total Qtd Comprada]" caption="Total Qtd Comprada" numFmtId="0" hierarchy="54" level="32767"/>
    <cacheField name="[Measures].[Total Qtd Vendida]" caption="Total Qtd Vendida" numFmtId="0" hierarchy="55" level="32767"/>
    <cacheField name="[TB_Produtos].[Produto].[Produto]" caption="Produto" numFmtId="0" hierarchy="30" level="1">
      <sharedItems containsSemiMixedTypes="0" containsNonDate="0" containsString="0"/>
    </cacheField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2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 oneField="1">
      <fieldsUsage count="1">
        <fieldUsage x="0"/>
      </fieldsUsage>
    </cacheHierarchy>
    <cacheHierarchy uniqueName="[Measures].[Total Qtd Vendida]" caption="Total Qtd Vendida" measure="1" displayFolder="" measureGroup="TB_Saídas" count="0" oneField="1">
      <fieldsUsage count="1">
        <fieldUsage x="1"/>
      </fieldsUsage>
    </cacheHierarchy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41409375002" backgroundQuery="1" createdVersion="8" refreshedVersion="8" minRefreshableVersion="3" recordCount="0" supportSubquery="1" supportAdvancedDrill="1" xr:uid="{44ADF7DC-68D7-4B7F-8ACD-91BE3396E0BC}">
  <cacheSource type="external" connectionId="2"/>
  <cacheFields count="5">
    <cacheField name="[Calendário].[Mês].[Mês]" caption="Mês" numFmtId="0" hierarchy="3" level="1">
      <sharedItems count="12">
        <s v="abr"/>
        <s v="ago"/>
        <s v="dez"/>
        <s v="fev"/>
        <s v="jan"/>
        <s v="jul"/>
        <s v="jun"/>
        <s v="mai"/>
        <s v="mar"/>
        <s v="nov"/>
        <s v="out"/>
        <s v="set"/>
      </sharedItems>
    </cacheField>
    <cacheField name="[Measures].[Soma de Quantidade Comprada]" caption="Soma de Quantidade Comprada" numFmtId="0" hierarchy="45" level="32767"/>
    <cacheField name="[Measures].[Soma de Quantidade Vendida]" caption="Soma de Quantidade Vendida" numFmtId="0" hierarchy="48" level="32767"/>
    <cacheField name="[Measures].[_Total Qtd Vendida Status]" caption="_Total Qtd Vendida Status" numFmtId="0" hierarchy="65" level="32767"/>
    <cacheField name="[TB_Produtos].[Produto].[Produto]" caption="Produto" numFmtId="0" hierarchy="30" level="1">
      <sharedItems containsSemiMixedTypes="0" containsNonDate="0" containsString="0"/>
    </cacheField>
  </cacheFields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>
      <fieldsUsage count="2">
        <fieldUsage x="-1"/>
        <fieldUsage x="0"/>
      </fieldsUsage>
    </cacheHierarchy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4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oneField="1" hidden="1">
      <fieldsUsage count="1">
        <fieldUsage x="3"/>
      </fieldsUsage>
    </cacheHierarchy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dimensions count="7">
    <dimension name="Calendário" uniqueName="[Calendário]" caption="Calendário"/>
    <dimension measure="1" name="Measures" uniqueName="[Measures]" caption="Measures"/>
    <dimension name="TB_ControleEstoque" uniqueName="[TB_ControleEstoque]" caption="TB_ControleEstoque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6">
    <measureGroup name="Calendário" caption="Calendário"/>
    <measureGroup name="TB_ControleEstoque" caption="TB_ControleEstoque"/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11">
    <map measureGroup="0" dimension="0"/>
    <map measureGroup="1" dimension="2"/>
    <map measureGroup="2" dimension="0"/>
    <map measureGroup="2" dimension="3"/>
    <map measureGroup="2" dimension="4"/>
    <map measureGroup="2" dimension="5"/>
    <map measureGroup="3" dimension="4"/>
    <map measureGroup="4" dimension="5"/>
    <map measureGroup="5" dimension="0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 Eliza Yukimoto de Oliveira" refreshedDate="45939.532330671296" createdVersion="8" refreshedVersion="8" minRefreshableVersion="3" recordCount="54" xr:uid="{C0D2A428-E24E-4957-B97C-1B0082ACEAEB}">
  <cacheSource type="worksheet">
    <worksheetSource name="TB_Entradas"/>
  </cacheSource>
  <cacheFields count="5">
    <cacheField name="Mês" numFmtId="0">
      <sharedItems containsSemiMixedTypes="0" containsString="0" containsNumber="1" containsInteger="1" minValue="1" maxValue="12"/>
    </cacheField>
    <cacheField name="Data" numFmtId="14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Código Produto" numFmtId="0">
      <sharedItems containsSemiMixedTypes="0" containsString="0" containsNumber="1" containsInteger="1" minValue="1" maxValue="26"/>
    </cacheField>
    <cacheField name="Fornecedor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Quantidade Comprada" numFmtId="0">
      <sharedItems containsSemiMixedTypes="0" containsString="0" containsNumber="1" containsInteger="1" minValue="15" maxValue="250"/>
    </cacheField>
  </cacheFields>
  <extLst>
    <ext xmlns:x14="http://schemas.microsoft.com/office/spreadsheetml/2009/9/main" uri="{725AE2AE-9491-48be-B2B4-4EB974FC3084}">
      <x14:pivotCacheDefinition pivotCacheId="1749037519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77199072" backgroundQuery="1" createdVersion="3" refreshedVersion="8" minRefreshableVersion="3" recordCount="0" supportSubquery="1" supportAdvancedDrill="1" xr:uid="{81EE5ED2-6CB2-40B1-A028-1B042C3936B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extLst>
    <ext xmlns:x14="http://schemas.microsoft.com/office/spreadsheetml/2009/9/main" uri="{725AE2AE-9491-48be-B2B4-4EB974FC3084}">
      <x14:pivotCacheDefinition slicerData="1" pivotCacheId="2116365197"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Eliza" refreshedDate="45999.922990277781" backgroundQuery="1" createdVersion="3" refreshedVersion="8" minRefreshableVersion="3" recordCount="0" supportSubquery="1" supportAdvancedDrill="1" xr:uid="{7751CA13-6A93-435B-B476-73BE35AC0DA3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8"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Dia do Número da Semana]" caption="Dia do Número da Semana" attribute="1" time="1" defaultMemberUniqueName="[Calendário].[Dia do Número da Semana].[All]" allUniqueName="[Calendário].[Dia do Número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TB_ControleEstoque].[Produto]" caption="Produto" attribute="1" defaultMemberUniqueName="[TB_ControleEstoque].[Produto].[All]" allUniqueName="[TB_ControleEstoque].[Produto].[All]" dimensionUniqueName="[TB_ControleEstoque]" displayFolder="" count="0" memberValueDatatype="130" unbalanced="0"/>
    <cacheHierarchy uniqueName="[TB_ControleEstoque].[Entradas]" caption="Entradas" attribute="1" defaultMemberUniqueName="[TB_ControleEstoque].[Entradas].[All]" allUniqueName="[TB_ControleEstoque].[Entradas].[All]" dimensionUniqueName="[TB_ControleEstoque]" displayFolder="" count="0" memberValueDatatype="20" unbalanced="0"/>
    <cacheHierarchy uniqueName="[TB_ControleEstoque].[Saídas]" caption="Saídas" attribute="1" defaultMemberUniqueName="[TB_ControleEstoque].[Saídas].[All]" allUniqueName="[TB_ControleEstoque].[Saídas].[All]" dimensionUniqueName="[TB_ControleEstoque]" displayFolder="" count="0" memberValueDatatype="20" unbalanced="0"/>
    <cacheHierarchy uniqueName="[TB_ControleEstoque].[Saldo em Estoque]" caption="Saldo em Estoque" attribute="1" defaultMemberUniqueName="[TB_ControleEstoque].[Saldo em Estoque].[All]" allUniqueName="[TB_ControleEstoque].[Saldo em Estoque].[All]" dimensionUniqueName="[TB_ControleEstoque]" displayFolder="" count="0" memberValueDatatype="20" unbalanced="0"/>
    <cacheHierarchy uniqueName="[TB_ControleEstoque].[Estoque Mínimo]" caption="Estoque Mínimo" attribute="1" defaultMemberUniqueName="[TB_ControleEstoque].[Estoque Mínimo].[All]" allUniqueName="[TB_ControleEstoque].[Estoque Mínimo].[All]" dimensionUniqueName="[TB_ControleEstoque]" displayFolder="" count="0" memberValueDatatype="20" unbalanced="0"/>
    <cacheHierarchy uniqueName="[TB_ControleEstoque].[Status do Estoque]" caption="Status do Estoque" attribute="1" defaultMemberUniqueName="[TB_ControleEstoque].[Status do Estoque].[All]" allUniqueName="[TB_ControleEstoque].[Status do Estoque].[All]" dimensionUniqueName="[TB_ControleEstoque]" displayFolder="" count="0" memberValueDatatype="130" unbalanced="0"/>
    <cacheHierarchy uniqueName="[TB_ControleEstoque].[Valor de Venda]" caption="Valor de Venda" attribute="1" defaultMemberUniqueName="[TB_ControleEstoque].[Valor de Venda].[All]" allUniqueName="[TB_ControleEstoque].[Valor de Venda].[All]" dimensionUniqueName="[TB_ControleEstoque]" displayFolder="" count="0" memberValueDatatype="130" unbalanced="0"/>
    <cacheHierarchy uniqueName="[TB_ControleEstoque].[Custo Total]" caption="Custo Total" attribute="1" defaultMemberUniqueName="[TB_ControleEstoque].[Custo Total].[All]" allUniqueName="[TB_ControleEstoque].[Custo Total].[All]" dimensionUniqueName="[TB_ControleEstoque]" displayFolder="" count="0" memberValueDatatype="130" unbalanced="0"/>
    <cacheHierarchy uniqueName="[TB_ControleEstoque].[Lucro]" caption="Lucro" attribute="1" defaultMemberUniqueName="[TB_ControleEstoque].[Lucro].[All]" allUniqueName="[TB_ControleEstoque].[Lucro].[All]" dimensionUniqueName="[TB_ControleEstoque]" displayFolder="" count="0" memberValueDatatype="130" unbalanced="0"/>
    <cacheHierarchy uniqueName="[TB_Entradas].[Mês]" caption="Mês" attribute="1" defaultMemberUniqueName="[TB_Entradas].[Mês].[All]" allUniqueName="[TB_Entradas].[Mês].[All]" dimensionUniqueName="[TB_Entradas]" displayFolder="" count="0" memberValueDatatype="20" unbalanced="0"/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Código Produto]" caption="Código Produto" attribute="1" defaultMemberUniqueName="[TB_Entradas].[Código Produto].[All]" allUniqueName="[TB_Entradas].[Código 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 Produto]" caption="Código Produto" attribute="1" defaultMemberUniqueName="[TB_Produtos].[Código Produto].[All]" allUniqueName="[TB_Produtos].[Código Produt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Mês]" caption="Mês" attribute="1" defaultMemberUniqueName="[TB_Saídas].[Mês].[All]" allUniqueName="[TB_Saídas].[Mês].[All]" dimensionUniqueName="[TB_Saídas]" displayFolder="" count="0" memberValueDatatype="20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Código Produto_Saidas]" caption="Código Produto_Saidas" attribute="1" defaultMemberUniqueName="[TB_Saídas].[Código Produto_Saidas].[All]" allUniqueName="[TB_Saídas].[Código Produto_Saidas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Preço de Venda]" caption="Preço de Venda" attribute="1" defaultMemberUniqueName="[TB_Saídas].[Preço de Venda].[All]" allUniqueName="[TB_Saídas].[Preço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Preço Unitário]" caption="Soma de Preço Unitário" measure="1" displayFolder="" measureGroup="TB_Produto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Estoque Mínimo]" caption="Soma de Estoque Mínimo" measure="1" displayFolder="" measureGroup="TB_Produto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Quantidade Vendida]" caption="Soma de Quantidade Vendida" measure="1" displayFolder="" measureGroup="TB_Saída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Valor de Venda]" caption="Contagem de Valor de Venda" measure="1" displayFolder="" measureGroup="TB_ControleEstoque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Preço de Venda]" caption="Soma de Preço de Venda" measure="1" displayFolder="" measureGroup="TB_Saída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Total Preco Unit]" caption="Total Preco Unit" measure="1" displayFolder="" measureGroup="TB_Saídas" count="0"/>
    <cacheHierarchy uniqueName="[Measures].[Despesas]" caption="Despesas" measure="1" displayFolder="" measureGroup="TB_Entradas" count="0"/>
    <cacheHierarchy uniqueName="[Measures].[Media Venda]" caption="Media Venda" measure="1" displayFolder="" measureGroup="TB_Saídas" count="0"/>
    <cacheHierarchy uniqueName="[Measures].[Total Qtd Comprada]" caption="Total Qtd Comprada" measure="1" displayFolder="" measureGroup="TB_Entradas" count="0"/>
    <cacheHierarchy uniqueName="[Measures].[Total Qtd Vendida]" caption="Total Qtd Vendida" measure="1" displayFolder="" measureGroup="TB_Saídas" count="0"/>
    <cacheHierarchy uniqueName="[Measures].[Total Preco Venda]" caption="Total Preco Venda" measure="1" displayFolder="" measureGroup="TB_Saídas" count="0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XL_Count TB_ControleEstoque]" caption="__XL_Count TB_ControleEstoque" measure="1" displayFolder="" measureGroup="TB_ControleEstoque" count="0" hidden="1"/>
    <cacheHierarchy uniqueName="[Measures].[__XL_Count Calendário]" caption="__XL_Count Calendário" measure="1" displayFolder="" measureGroup="Calendário" count="0" hidden="1"/>
    <cacheHierarchy uniqueName="[Measures].[__No measures defined]" caption="__No measures defined" measure="1" displayFolder="" count="0" hidden="1"/>
    <cacheHierarchy uniqueName="[Measures].[_Total Qtd Vendida Goal]" caption="_Total Qtd Vendida Goal" measure="1" displayFolder="" measureGroup="TB_Saídas" count="0" hidden="1"/>
    <cacheHierarchy uniqueName="[Measures].[_Total Qtd Vendida Status]" caption="_Total Qtd Vendida Status" measure="1" iconSet="11" displayFolder="" measureGroup="TB_Saídas" count="0" hidden="1"/>
    <cacheHierarchy uniqueName="[Measures].[_Total Preco Venda Goal]" caption="_Total Preco Venda Goal" measure="1" displayFolder="" measureGroup="TB_Saídas" count="0" hidden="1"/>
    <cacheHierarchy uniqueName="[Measures].[_Total Preco Venda Status]" caption="_Total Preco Venda Status" measure="1" iconSet="11" displayFolder="" measureGroup="TB_Saídas" count="0" hidden="1"/>
  </cacheHierarchies>
  <kpis count="2">
    <kpi uniqueName="Total Qtd Vendida" caption="Total Qtd Vendida" displayFolder="" measureGroup="TB_Saídas" parent="" value="[Measures].[Total Qtd Vendida]" goal="[Measures].[_Total Qtd Vendida Goal]" status="[Measures].[_Total Qtd Vendida Status]" trend="" weight=""/>
    <kpi uniqueName="Total Preco Venda" caption="Total Preco Venda" displayFolder="" measureGroup="TB_Saídas" parent="" value="[Measures].[Total Preco Venda]" goal="[Measures].[_Total Preco Venda Goal]" status="[Measures].[_Total Preco Venda Status]" trend="" weight=""/>
  </kpis>
  <extLst>
    <ext xmlns:x14="http://schemas.microsoft.com/office/spreadsheetml/2009/9/main" uri="{725AE2AE-9491-48be-B2B4-4EB974FC3084}">
      <x14:pivotCacheDefinition slicerData="1" pivotCacheId="251977903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x v="0"/>
    <n v="1"/>
    <x v="0"/>
    <n v="100"/>
  </r>
  <r>
    <n v="1"/>
    <x v="0"/>
    <n v="3"/>
    <x v="1"/>
    <n v="100"/>
  </r>
  <r>
    <n v="1"/>
    <x v="1"/>
    <n v="11"/>
    <x v="0"/>
    <n v="90"/>
  </r>
  <r>
    <n v="1"/>
    <x v="2"/>
    <n v="16"/>
    <x v="1"/>
    <n v="100"/>
  </r>
  <r>
    <n v="2"/>
    <x v="3"/>
    <n v="16"/>
    <x v="1"/>
    <n v="85"/>
  </r>
  <r>
    <n v="2"/>
    <x v="4"/>
    <n v="11"/>
    <x v="0"/>
    <n v="80"/>
  </r>
  <r>
    <n v="2"/>
    <x v="5"/>
    <n v="1"/>
    <x v="0"/>
    <n v="125"/>
  </r>
  <r>
    <n v="2"/>
    <x v="6"/>
    <n v="21"/>
    <x v="2"/>
    <n v="50"/>
  </r>
  <r>
    <n v="2"/>
    <x v="7"/>
    <n v="3"/>
    <x v="1"/>
    <n v="100"/>
  </r>
  <r>
    <n v="3"/>
    <x v="8"/>
    <n v="26"/>
    <x v="2"/>
    <n v="250"/>
  </r>
  <r>
    <n v="3"/>
    <x v="9"/>
    <n v="16"/>
    <x v="1"/>
    <n v="50"/>
  </r>
  <r>
    <n v="3"/>
    <x v="10"/>
    <n v="1"/>
    <x v="0"/>
    <n v="150"/>
  </r>
  <r>
    <n v="3"/>
    <x v="11"/>
    <n v="17"/>
    <x v="0"/>
    <n v="100"/>
  </r>
  <r>
    <n v="3"/>
    <x v="12"/>
    <n v="11"/>
    <x v="0"/>
    <n v="40"/>
  </r>
  <r>
    <n v="3"/>
    <x v="13"/>
    <n v="3"/>
    <x v="1"/>
    <n v="50"/>
  </r>
  <r>
    <n v="4"/>
    <x v="14"/>
    <n v="16"/>
    <x v="1"/>
    <n v="90"/>
  </r>
  <r>
    <n v="4"/>
    <x v="15"/>
    <n v="1"/>
    <x v="0"/>
    <n v="150"/>
  </r>
  <r>
    <n v="4"/>
    <x v="16"/>
    <n v="11"/>
    <x v="0"/>
    <n v="60"/>
  </r>
  <r>
    <n v="4"/>
    <x v="17"/>
    <n v="3"/>
    <x v="1"/>
    <n v="50"/>
  </r>
  <r>
    <n v="5"/>
    <x v="18"/>
    <n v="18"/>
    <x v="3"/>
    <n v="60"/>
  </r>
  <r>
    <n v="5"/>
    <x v="19"/>
    <n v="3"/>
    <x v="1"/>
    <n v="50"/>
  </r>
  <r>
    <n v="5"/>
    <x v="20"/>
    <n v="16"/>
    <x v="1"/>
    <n v="30"/>
  </r>
  <r>
    <n v="5"/>
    <x v="20"/>
    <n v="1"/>
    <x v="0"/>
    <n v="100"/>
  </r>
  <r>
    <n v="5"/>
    <x v="21"/>
    <n v="11"/>
    <x v="0"/>
    <n v="45"/>
  </r>
  <r>
    <n v="6"/>
    <x v="22"/>
    <n v="1"/>
    <x v="0"/>
    <n v="150"/>
  </r>
  <r>
    <n v="6"/>
    <x v="23"/>
    <n v="11"/>
    <x v="0"/>
    <n v="115"/>
  </r>
  <r>
    <n v="6"/>
    <x v="24"/>
    <n v="16"/>
    <x v="1"/>
    <n v="100"/>
  </r>
  <r>
    <n v="6"/>
    <x v="25"/>
    <n v="3"/>
    <x v="1"/>
    <n v="45"/>
  </r>
  <r>
    <n v="7"/>
    <x v="26"/>
    <n v="1"/>
    <x v="0"/>
    <n v="150"/>
  </r>
  <r>
    <n v="7"/>
    <x v="27"/>
    <n v="16"/>
    <x v="1"/>
    <n v="60"/>
  </r>
  <r>
    <n v="7"/>
    <x v="28"/>
    <n v="11"/>
    <x v="0"/>
    <n v="120"/>
  </r>
  <r>
    <n v="7"/>
    <x v="29"/>
    <n v="3"/>
    <x v="1"/>
    <n v="20"/>
  </r>
  <r>
    <n v="8"/>
    <x v="30"/>
    <n v="11"/>
    <x v="0"/>
    <n v="35"/>
  </r>
  <r>
    <n v="8"/>
    <x v="31"/>
    <n v="14"/>
    <x v="0"/>
    <n v="100"/>
  </r>
  <r>
    <n v="8"/>
    <x v="32"/>
    <n v="16"/>
    <x v="1"/>
    <n v="30"/>
  </r>
  <r>
    <n v="8"/>
    <x v="32"/>
    <n v="3"/>
    <x v="1"/>
    <n v="30"/>
  </r>
  <r>
    <n v="8"/>
    <x v="33"/>
    <n v="1"/>
    <x v="0"/>
    <n v="150"/>
  </r>
  <r>
    <n v="9"/>
    <x v="34"/>
    <n v="26"/>
    <x v="2"/>
    <n v="100"/>
  </r>
  <r>
    <n v="9"/>
    <x v="35"/>
    <n v="11"/>
    <x v="0"/>
    <n v="34"/>
  </r>
  <r>
    <n v="9"/>
    <x v="36"/>
    <n v="19"/>
    <x v="3"/>
    <n v="50"/>
  </r>
  <r>
    <n v="9"/>
    <x v="37"/>
    <n v="16"/>
    <x v="1"/>
    <n v="20"/>
  </r>
  <r>
    <n v="9"/>
    <x v="38"/>
    <n v="3"/>
    <x v="1"/>
    <n v="15"/>
  </r>
  <r>
    <n v="9"/>
    <x v="39"/>
    <n v="1"/>
    <x v="0"/>
    <n v="180"/>
  </r>
  <r>
    <n v="10"/>
    <x v="40"/>
    <n v="11"/>
    <x v="0"/>
    <n v="46"/>
  </r>
  <r>
    <n v="10"/>
    <x v="41"/>
    <n v="16"/>
    <x v="1"/>
    <n v="35"/>
  </r>
  <r>
    <n v="10"/>
    <x v="42"/>
    <n v="1"/>
    <x v="0"/>
    <n v="100"/>
  </r>
  <r>
    <n v="10"/>
    <x v="43"/>
    <n v="3"/>
    <x v="1"/>
    <n v="55"/>
  </r>
  <r>
    <n v="11"/>
    <x v="44"/>
    <n v="20"/>
    <x v="2"/>
    <n v="100"/>
  </r>
  <r>
    <n v="11"/>
    <x v="45"/>
    <n v="1"/>
    <x v="0"/>
    <n v="80"/>
  </r>
  <r>
    <n v="11"/>
    <x v="46"/>
    <n v="11"/>
    <x v="0"/>
    <n v="45"/>
  </r>
  <r>
    <n v="11"/>
    <x v="47"/>
    <n v="16"/>
    <x v="1"/>
    <n v="20"/>
  </r>
  <r>
    <n v="11"/>
    <x v="48"/>
    <n v="3"/>
    <x v="1"/>
    <n v="35"/>
  </r>
  <r>
    <n v="12"/>
    <x v="49"/>
    <n v="1"/>
    <x v="0"/>
    <n v="200"/>
  </r>
  <r>
    <n v="12"/>
    <x v="50"/>
    <n v="11"/>
    <x v="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7D765-B801-4CB1-811B-7E2B9D0ABBAF}" name="Comprada_Vendida" cacheId="3363" dataOnRows="1" applyNumberFormats="0" applyBorderFormats="0" applyFontFormats="0" applyPatternFormats="0" applyAlignmentFormats="0" applyWidthHeightFormats="1" dataCaption="Valores" tag="ba4aa5d1-e972-4dec-8eb0-9d4a049ff640" updatedVersion="8" minRefreshableVersion="3" useAutoFormatting="1" itemPrintTitles="1" createdVersion="8" indent="0" outline="1" outlineData="1" multipleFieldFilters="0" chartFormat="26">
  <location ref="F3:G5" firstHeaderRow="1" firstDataRow="1" firstDataCol="1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2">
    <i>
      <x/>
    </i>
    <i i="1">
      <x v="1"/>
    </i>
  </rowItems>
  <colItems count="1">
    <i/>
  </colItems>
  <dataFields count="2">
    <dataField name="Total Comprado" fld="0" subtotal="count" baseField="0" baseItem="1" numFmtId="3"/>
    <dataField name="Total Vendido" fld="1" subtotal="count" baseField="0" baseItem="1" numFmtId="3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omprado"/>
    <pivotHierarchy dragToRow="0" dragToCol="0" dragToPage="0" dragToData="1" caption="Total Vendi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TB_Entradas]"/>
        <x15:activeTabTopLevelEntity name="[TB_ControleEstoque]"/>
        <x15:activeTabTopLevelEntity name="[TB_Saí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66FAF-BE4F-4F4A-AD4E-3D450C21AAAD}" name="Ranking Faturado" cacheId="3360" applyNumberFormats="0" applyBorderFormats="0" applyFontFormats="0" applyPatternFormats="0" applyAlignmentFormats="0" applyWidthHeightFormats="1" dataCaption="Valores" tag="9e81ba8b-6d34-4291-a7b9-7806f76a14d9" updatedVersion="8" minRefreshableVersion="3" useAutoFormatting="1" subtotalHiddenItems="1" itemPrintTitles="1" createdVersion="8" indent="0" outline="1" outlineData="1" multipleFieldFilters="0" chartFormat="8" rowHeaderCaption="RANKING FATURAMENTO">
  <location ref="O3:Q9" firstHeaderRow="0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3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ço de Venda" fld="1" baseField="0" baseItem="0"/>
    <dataField name="Status" fld="2" subtotal="count" baseField="0" baseItem="0"/>
  </dataFields>
  <formats count="2">
    <format dxfId="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2" iMeasureHier="50">
      <autoFilter ref="A1">
        <filterColumn colId="0">
          <top10 val="5" filterVal="5"/>
        </filterColumn>
      </autoFilter>
    </filter>
  </filters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TB_Produtos]"/>
        <x15:activeTabTopLevelEntity name="[TB_ControleEstoque]"/>
        <x15:activeTabTopLevelEntity name="[TB_Saí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ECD2A-A9B2-47E6-9E0D-B71917BDCCAC}" name="Top5_Produtos" cacheId="3359" applyNumberFormats="0" applyBorderFormats="0" applyFontFormats="0" applyPatternFormats="0" applyAlignmentFormats="0" applyWidthHeightFormats="1" dataCaption="Valores" tag="bd9f59cd-6376-4024-99a0-e8e14071a97a" updatedVersion="8" minRefreshableVersion="3" useAutoFormatting="1" itemPrintTitles="1" createdVersion="8" indent="0" outline="1" outlineData="1" multipleFieldFilters="0" chartFormat="9" rowHeaderCaption="TOP 5 PRODUTOS MAIS VENDIDOS">
  <location ref="I3:K9" firstHeaderRow="0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3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Qtd Vendida" fld="1" baseField="0" baseItem="0"/>
    <dataField name="Qtd Comprada" fld="2" baseField="0" baseItem="0"/>
  </dataFields>
  <chartFormats count="7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d Comprada"/>
    <pivotHierarchy dragToData="1"/>
    <pivotHierarchy dragToData="1"/>
    <pivotHierarchy dragToData="1" caption="Qtd Vendida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2" iMeasureHier="48">
      <autoFilter ref="A1">
        <filterColumn colId="0">
          <top10 val="5" filterVal="5"/>
        </filterColumn>
      </autoFilter>
    </filter>
  </filters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TB_Produtos]"/>
        <x15:activeTabTopLevelEntity name="[TB_Saídas]"/>
        <x15:activeTabTopLevelEntity name="[TB_Entrada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D279F-30B9-4F9E-AFD5-C512BA79AD07}" name="Entradas_Saidas" cacheId="3364" applyNumberFormats="0" applyBorderFormats="0" applyFontFormats="0" applyPatternFormats="0" applyAlignmentFormats="0" applyWidthHeightFormats="1" dataCaption="Valores" tag="38a27e17-dbb4-4f6e-8b1b-b4edd6f66942" updatedVersion="8" minRefreshableVersion="3" useAutoFormatting="1" itemPrintTitles="1" createdVersion="8" indent="0" outline="1" outlineData="1" multipleFieldFilters="0" chartFormat="11" rowHeaderCaption="ENTRADA X SAÍDA MENSAL">
  <location ref="A3:D16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d Comprada" fld="1" baseField="0" baseItem="0"/>
    <dataField name="Qtd Vendida" fld="2" baseField="0" baseItem="0"/>
    <dataField name="Status" fld="3" subtotal="count" baseField="0" baseItem="0"/>
  </dataFields>
  <formats count="5">
    <format dxfId="56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scope="data" priority="1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d Comprada"/>
    <pivotHierarchy dragToData="1"/>
    <pivotHierarchy dragToData="1"/>
    <pivotHierarchy dragToData="1" caption="Qtd Vendida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endário]"/>
        <x15:activeTabTopLevelEntity name="[TB_Entradas]"/>
        <x15:activeTabTopLevelEntity name="[TB_Saídas]"/>
        <x15:activeTabTopLevelEntity name="[TB_Fornecedor]"/>
        <x15:activeTabTopLevelEntity name="[TB_Produtos]"/>
        <x15:activeTabTopLevelEntity name="[TB_ControleEsto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F2F3A-1278-44B7-97ED-95EE64851825}" name="Tabela dinâmica2" cacheId="3355" applyNumberFormats="0" applyBorderFormats="0" applyFontFormats="0" applyPatternFormats="0" applyAlignmentFormats="0" applyWidthHeightFormats="1" dataCaption="Valores" tag="0c366957-75ab-4e9a-b5c9-c1f9013bfa6f" updatedVersion="8" minRefreshableVersion="3" useAutoFormatting="1" colGrandTotals="0" itemPrintTitles="1" createdVersion="8" indent="0" outline="1" outlineData="1" multipleFieldFilters="0">
  <location ref="A3:Y18" firstHeaderRow="1" firstDataRow="4" firstDataCol="1"/>
  <pivotFields count="5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3">
    <field x="2"/>
    <field x="1"/>
    <field x="-2"/>
  </colFields>
  <colItems count="24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</colItems>
  <dataFields count="2">
    <dataField name="Custo" fld="3" baseField="0" baseItem="3" numFmtId="168"/>
    <dataField name="Qtd" fld="4" baseField="0" baseItem="3"/>
  </dataField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d"/>
    <pivotHierarchy dragToData="1"/>
    <pivotHierarchy dragToData="1" caption="Custo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Medium10" showRowHeaders="1" showColHeaders="1" showRowStripes="0" showColStripes="1" showLastColumn="1"/>
  <rowHierarchiesUsage count="1">
    <rowHierarchyUsage hierarchyUsage="30"/>
  </rowHierarchiesUsage>
  <colHierarchiesUsage count="3">
    <colHierarchyUsage hierarchyUsage="22"/>
    <colHierarchyUsage hierarchyUsage="1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5D9AB-F64F-4A2D-99B1-8DDBED2E80F3}" name="Tabela dinâmica3" cacheId="3356" applyNumberFormats="0" applyBorderFormats="0" applyFontFormats="0" applyPatternFormats="0" applyAlignmentFormats="0" applyWidthHeightFormats="1" dataCaption="Valores" tag="066ef113-6077-4605-96dc-732d1f2991b6" updatedVersion="8" minRefreshableVersion="3" useAutoFormatting="1" subtotalHiddenItems="1" itemPrintTitles="1" createdVersion="8" indent="0" outline="1" outlineData="1" multipleFieldFilters="0">
  <location ref="A37:C65" firstHeaderRow="0" firstDataRow="1" firstDataCol="1"/>
  <pivotFields count="3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Preço Unit" fld="1" baseField="0" baseItem="0"/>
    <dataField name="Soma de Estoque Mínimo" fld="2" baseField="0" baseItem="0"/>
  </dataFields>
  <formats count="2">
    <format dxfId="54">
      <pivotArea dataOnly="0" outline="0" axis="axisValues" fieldPosition="0"/>
    </format>
    <format dxfId="55">
      <pivotArea dataOnly="0" outline="0" axis="axisValues" fieldPosition="0"/>
    </format>
  </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eço Un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Medium4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 com Excel - Dashboard Básico1.xlsx!TB_Produtos"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684BB-8B78-40E1-9E23-1098EF086310}" name="Tab Din Power Pivot" cacheId="3357" applyNumberFormats="0" applyBorderFormats="0" applyFontFormats="0" applyPatternFormats="0" applyAlignmentFormats="0" applyWidthHeightFormats="1" dataCaption="Valores" tag="c3297668-1910-4a36-b153-55a7729a8b93" updatedVersion="8" minRefreshableVersion="3" useAutoFormatting="1" itemPrintTitles="1" createdVersion="8" indent="0" outline="1" outlineData="1" multipleFieldFilters="0">
  <location ref="A72:C88" firstHeaderRow="0" firstDataRow="1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2"/>
    <field x="0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Qtd Comprada" fld="1" baseField="0" baseItem="0"/>
    <dataField name="Soma de Custo Compra" fld="3" baseField="0" baseItem="0"/>
  </dataFields>
  <formats count="2">
    <format dxfId="52">
      <pivotArea dataOnly="0" outline="0" axis="axisValues" fieldPosition="0"/>
    </format>
    <format dxfId="53">
      <pivotArea dataOnly="0" outline="0" axis="axisValues" fieldPosition="0"/>
    </format>
  </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d Comprada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Medium10" showRowHeaders="1" showColHeaders="1" showRowStripes="0" showColStripes="0" showLastColumn="1"/>
  <rowHierarchiesUsage count="2">
    <rowHierarchyUsage hierarchyUsage="25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0FCB0-B9DD-4839-958D-3BEE54451C0E}" name="Tabela dinâmica1" cacheId="3358" applyNumberFormats="0" applyBorderFormats="0" applyFontFormats="0" applyPatternFormats="0" applyAlignmentFormats="0" applyWidthHeightFormats="1" dataCaption="Valores" tag="73e92fa4-6550-476e-a930-85ec9a1c98aa" updatedVersion="8" minRefreshableVersion="3" useAutoFormatting="1" subtotalHiddenItems="1" itemPrintTitles="1" createdVersion="8" indent="0" outline="1" outlineData="1" multipleFieldFilters="0">
  <location ref="A3:N17" firstHeaderRow="1" firstDataRow="3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1" baseField="0" baseItem="0"/>
  </dataFields>
  <formats count="1">
    <format dxfId="51">
      <pivotArea field="3" type="button" dataOnly="0" labelOnly="1" outline="0" axis="axisCol" fieldPosition="0"/>
    </format>
  </formats>
  <pivotHierarchies count="70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2">
    <colHierarchyUsage hierarchyUsage="22"/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83312-9BCB-4063-89C5-B82CAF5CD946}" name="Indicador_Despesas" cacheId="3361" applyNumberFormats="0" applyBorderFormats="0" applyFontFormats="0" applyPatternFormats="0" applyAlignmentFormats="0" applyWidthHeightFormats="1" dataCaption="Valores" tag="88b0538c-42be-489e-ba13-19f170d83d63" updatedVersion="8" minRefreshableVersion="3" useAutoFormatting="1" itemPrintTitles="1" createdVersion="8" indent="0" outline="1" outlineData="1" multipleFieldFilters="0">
  <location ref="H5:H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formats count="6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axis="axisValues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axis="axisValues" fieldPosition="0"/>
    </format>
  </formats>
  <pivotHierarchies count="70"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B2378-7DB6-4B5E-9404-7FC97CE4A6DF}" name="Indicador_Venda" cacheId="3362" applyNumberFormats="0" applyBorderFormats="0" applyFontFormats="0" applyPatternFormats="0" applyAlignmentFormats="0" applyWidthHeightFormats="1" dataCaption="Valores" tag="bc357b4c-8e0b-4a02-a9dc-309284a4c39c" updatedVersion="8" minRefreshableVersion="3" useAutoFormatting="1" itemPrintTitles="1" createdVersion="8" indent="0" outline="1" outlineData="1" multipleFieldFilters="0">
  <location ref="H5:I6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6"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dataOnly="0" labelOnly="1" outline="0" axis="axisValues" fieldPosition="0"/>
    </format>
  </formats>
  <pivotHierarchies count="70"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Medium10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Saídas]"/>
        <x15:activeTabTopLevelEntity name="[Calendário]"/>
        <x15:activeTabTopLevelEntity name="[TB_Fornecedor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1325984E-4C8B-46B3-B96E-F6B7B01BB25E}" sourceName="Fornecedor">
  <data>
    <tabular pivotCacheId="1749037519">
      <items count="4">
        <i x="0" s="1"/>
        <i x="3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64F2F321-94E0-4893-A6C1-77316184ED87}" sourceName="[TB_Produtos].[Produto]">
  <pivotTables>
    <pivotTable tabId="34" name="Tabela dinâmica3"/>
  </pivotTables>
  <data>
    <olap pivotCacheId="251977903">
      <levels count="2">
        <level uniqueName="[TB_Produtos].[Produto].[(All)]" sourceCaption="(All)" count="0"/>
        <level uniqueName="[TB_Produtos].[Produto].[Produto]" sourceCaption="Produto" count="27">
          <ranges>
            <range startItem="0">
              <i n="[TB_Produtos].[Produto].&amp;[Açúcar]" c="Açúcar"/>
              <i n="[TB_Produtos].[Produto].&amp;[Água]" c="Água"/>
              <i n="[TB_Produtos].[Produto].&amp;[Café]" c="Café"/>
              <i n="[TB_Produtos].[Produto].&amp;[Cerveja]" c="Cerveja"/>
              <i n="[TB_Produtos].[Produto].&amp;[Chá]" c="Chá"/>
              <i n="[TB_Produtos].[Produto].&amp;[Chantilly]" c="Chantilly"/>
              <i n="[TB_Produtos].[Produto].&amp;[Chocolate Quente]" c="Chocolate Quente"/>
              <i n="[TB_Produtos].[Produto].&amp;[Coxinha]" c="Coxinha"/>
              <i n="[TB_Produtos].[Produto].&amp;[Empada]" c="Empada"/>
              <i n="[TB_Produtos].[Produto].&amp;[Enroladinho]" c="Enroladinho"/>
              <i n="[TB_Produtos].[Produto].&amp;[Esfiha]" c="Esfiha"/>
              <i n="[TB_Produtos].[Produto].&amp;[Frango]" c="Frango"/>
              <i n="[TB_Produtos].[Produto].&amp;[Hamburguer]" c="Hamburguer"/>
              <i n="[TB_Produtos].[Produto].&amp;[Leite]" c="Leite"/>
              <i n="[TB_Produtos].[Produto].&amp;[Manteiga]" c="Manteiga"/>
              <i n="[TB_Produtos].[Produto].&amp;[Mini Pizza]" c="Mini Pizza"/>
              <i n="[TB_Produtos].[Produto].&amp;[Mortadela]" c="Mortadela"/>
              <i n="[TB_Produtos].[Produto].&amp;[Pão]" c="Pão"/>
              <i n="[TB_Produtos].[Produto].&amp;[Pão de Queijo]" c="Pão de Queijo"/>
              <i n="[TB_Produtos].[Produto].&amp;[Peito de Peru]" c="Peito de Peru"/>
              <i n="[TB_Produtos].[Produto].&amp;[Presunto]" c="Presunto"/>
              <i n="[TB_Produtos].[Produto].&amp;[Queijo]" c="Queijo"/>
              <i n="[TB_Produtos].[Produto].&amp;[Quibe]" c="Quibe"/>
              <i n="[TB_Produtos].[Produto].&amp;[Refrigerante]" c="Refrigerante"/>
              <i n="[TB_Produtos].[Produto].&amp;[Requeijão]" c="Requeijão"/>
              <i n="[TB_Produtos].[Produto].&amp;[Risoles]" c="Risoles"/>
              <i n="[TB_Produtos].[Produto].&amp;[Suco de Laranja]" c="Suco de Laranja"/>
            </range>
          </ranges>
        </level>
      </levels>
      <selections count="1">
        <selection n="[TB_Produtos].[Produ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BCE9504D-35AA-4D0E-AF71-F9ED5FB3785C}" sourceName="[TB_Entradas].[Data (Mês)]">
  <data>
    <olap pivotCacheId="2116365197">
      <levels count="2">
        <level uniqueName="[TB_Entradas].[Data (Mês)].[(All)]" sourceCaption="(All)" count="0"/>
        <level uniqueName="[TB_Entradas].[Data (Mês)].[Data (Mês)]" sourceCaption="Data (Mês)" count="12">
          <ranges>
            <range startItem="0">
              <i n="[TB_Entradas].[Data (Mês)].&amp;[jan]" c="jan"/>
              <i n="[TB_Entradas].[Data (Mês)].&amp;[fev]" c="fev"/>
              <i n="[TB_Entradas].[Data (Mês)].&amp;[mar]" c="mar"/>
              <i n="[TB_Entradas].[Data (Mês)].&amp;[abr]" c="abr"/>
              <i n="[TB_Entradas].[Data (Mês)].&amp;[mai]" c="mai"/>
              <i n="[TB_Entradas].[Data (Mês)].&amp;[jun]" c="jun"/>
              <i n="[TB_Entradas].[Data (Mês)].&amp;[jul]" c="jul"/>
              <i n="[TB_Entradas].[Data (Mês)].&amp;[ago]" c="ago"/>
              <i n="[TB_Entradas].[Data (Mês)].&amp;[set]" c="set"/>
              <i n="[TB_Entradas].[Data (Mês)].&amp;[out]" c="out"/>
              <i n="[TB_Entradas].[Data (Mês)].&amp;[nov]" c="nov"/>
              <i n="[TB_Entradas].[Data (Mês)].&amp;[dez]" c="dez"/>
            </range>
          </ranges>
        </level>
      </levels>
      <selections count="1">
        <selection n="[TB_Entradas].[Data (Mês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FF647FBE-16E4-46D7-8293-4D46B3FBEF80}" sourceName="[TB_Produtos].[Produto]">
  <pivotTables>
    <pivotTable tabId="4" name="Indicador_Despesas"/>
    <pivotTable tabId="5" name="Indicador_Venda"/>
    <pivotTable tabId="36" name="Comprada_Vendida"/>
    <pivotTable tabId="36" name="Entradas_Saidas"/>
  </pivotTables>
  <data>
    <olap pivotCacheId="2116365197">
      <levels count="2">
        <level uniqueName="[TB_Produtos].[Produto].[(All)]" sourceCaption="(All)" count="0"/>
        <level uniqueName="[TB_Produtos].[Produto].[Produto]" sourceCaption="Produto" count="27">
          <ranges>
            <range startItem="0">
              <i n="[TB_Produtos].[Produto].&amp;[Água]" c="Água"/>
              <i n="[TB_Produtos].[Produto].&amp;[Café]" c="Café"/>
              <i n="[TB_Produtos].[Produto].&amp;[Cerveja]" c="Cerveja"/>
              <i n="[TB_Produtos].[Produto].&amp;[Chocolate Quente]" c="Chocolate Quente"/>
              <i n="[TB_Produtos].[Produto].&amp;[Coxinha]" c="Coxinha"/>
              <i n="[TB_Produtos].[Produto].&amp;[Frango]" c="Frango"/>
              <i n="[TB_Produtos].[Produto].&amp;[Hamburguer]" c="Hamburguer"/>
              <i n="[TB_Produtos].[Produto].&amp;[Mini Pizza]" c="Mini Pizza"/>
              <i n="[TB_Produtos].[Produto].&amp;[Pão de Queijo]" c="Pão de Queijo"/>
              <i n="[TB_Produtos].[Produto].&amp;[Refrigerante]" c="Refrigerante"/>
              <i n="[TB_Produtos].[Produto].&amp;[Suco de Laranja]" c="Suco de Laranja"/>
              <i n="[TB_Produtos].[Produto].&amp;[Açúcar]" c="Açúcar" nd="1"/>
              <i n="[TB_Produtos].[Produto].&amp;[Chá]" c="Chá" nd="1"/>
              <i n="[TB_Produtos].[Produto].&amp;[Chantilly]" c="Chantilly" nd="1"/>
              <i n="[TB_Produtos].[Produto].&amp;[Empada]" c="Empada" nd="1"/>
              <i n="[TB_Produtos].[Produto].&amp;[Enroladinho]" c="Enroladinho" nd="1"/>
              <i n="[TB_Produtos].[Produto].&amp;[Esfiha]" c="Esfiha" nd="1"/>
              <i n="[TB_Produtos].[Produto].&amp;[Leite]" c="Leite" nd="1"/>
              <i n="[TB_Produtos].[Produto].&amp;[Manteiga]" c="Manteiga" nd="1"/>
              <i n="[TB_Produtos].[Produto].&amp;[Mortadela]" c="Mortadela" nd="1"/>
              <i n="[TB_Produtos].[Produto].&amp;[Pão]" c="Pão" nd="1"/>
              <i n="[TB_Produtos].[Produto].&amp;[Peito de Peru]" c="Peito de Peru" nd="1"/>
              <i n="[TB_Produtos].[Produto].&amp;[Presunto]" c="Presunto" nd="1"/>
              <i n="[TB_Produtos].[Produto].&amp;[Queijo]" c="Queijo" nd="1"/>
              <i n="[TB_Produtos].[Produto].&amp;[Quibe]" c="Quibe" nd="1"/>
              <i n="[TB_Produtos].[Produto].&amp;[Requeijão]" c="Requeijão" nd="1"/>
              <i n="[TB_Produtos].[Produto].&amp;[Risoles]" c="Risoles" nd="1"/>
            </range>
          </ranges>
        </level>
      </levels>
      <selections count="1">
        <selection n="[TB_Produtos].[Produto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817A1EFB-FE36-4C75-8160-165B352CA69F}" sourceName="[TB_Fornecedor].[Empresa]">
  <pivotTables>
    <pivotTable tabId="4" name="Indicador_Despesas"/>
    <pivotTable tabId="5" name="Indicador_Venda"/>
    <pivotTable tabId="36" name="Comprada_Vendida"/>
    <pivotTable tabId="36" name="Entradas_Saidas"/>
  </pivotTables>
  <data>
    <olap pivotCacheId="2116365197">
      <levels count="2">
        <level uniqueName="[TB_Fornecedor].[Empresa].[(All)]" sourceCaption="(All)" count="0"/>
        <level uniqueName="[TB_Fornecedor].[Empresa].[Empresa]" sourceCaption="Empresa" count="4">
          <ranges>
            <range startItem="0">
              <i n="[TB_Fornecedor].[Empresa].&amp;[Distribuídora KS]" c="Distribuídora KS"/>
              <i n="[TB_Fornecedor].[Empresa].&amp;[Frigorífico Z]" c="Frigorífico Z"/>
              <i n="[TB_Fornecedor].[Empresa].&amp;[Mercado Express]" c="Mercado Express"/>
              <i n="[TB_Fornecedor].[Empresa].&amp;[Salgados Gran]" c="Salgados Gran"/>
            </range>
          </ranges>
        </level>
      </levels>
      <selections count="1">
        <selection n="[TB_Fornecedor].[Empres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F1215B8A-5881-4145-A09D-11097DBC3A5F}" cache="SegmentaçãodeDados_Produto1" caption="Produto" columnCount="2" level="1" style="Estilo de Segmentação de Dados 1" rowHeight="234950"/>
  <slicer name="Empresa" xr10:uid="{14588CEB-E328-4C92-94B2-286EE3DCBF1E}" cache="SegmentaçãodeDados_Empresa" caption="Empresa" level="1" style="Estilo de Segmentação de Dados 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50CCF8C0-5839-453F-B228-875FA8A7C615}" cache="SegmentaçãodeDados_Data__Mês" caption="Data (Mês)" columnCount="4" level="1" style="SlicerStyleDark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necedor" xr10:uid="{8937AB23-28F1-4C73-8944-5AA05B1C2133}" cache="SegmentaçãodeDados_Fornecedor" caption="Fornecedor" style="SlicerStyleDark3" rowHeight="216000"/>
  <slicer name="Produto" xr10:uid="{6F4352D3-C26E-4FF9-B2A2-C41C2F529B3E}" cache="SegmentaçãodeDados_Produto" caption="Produto" columnCount="3" level="1" style="SlicerStyleDark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G31" totalsRowShown="0" headerRowDxfId="38" dataDxfId="37">
  <autoFilter ref="B4:G31" xr:uid="{BF78AD2E-2996-4673-93A5-FBABBADBFCAD}"/>
  <tableColumns count="6">
    <tableColumn id="6" xr3:uid="{2ABBD03F-DE90-4F12-BD8A-DF974D208BD8}" name="Código Produto" dataDxfId="36"/>
    <tableColumn id="1" xr3:uid="{377E90C8-0A45-4737-AC04-4C7CDB0AEAE2}" name="Produto" dataDxfId="35"/>
    <tableColumn id="2" xr3:uid="{4EB804C9-8A27-4783-BD36-FB9E656AE6E9}" name="Unidade de Medida" dataDxfId="34"/>
    <tableColumn id="3" xr3:uid="{A21D3E1F-EEC0-4E4A-BE5D-F1FC07B6F8D6}" name="Estoque Mínimo" dataDxfId="33"/>
    <tableColumn id="4" xr3:uid="{56ACBABD-1CFA-40E7-BC2B-DBA4120CD2CF}" name="Custo Unitário" dataDxfId="32" dataCellStyle="Moeda"/>
    <tableColumn id="5" xr3:uid="{96CD541B-A2C4-4577-95D7-DC8135FFC00B}" name="Preço Unitário" dataDxfId="31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30" dataDxfId="29">
  <autoFilter ref="B5:F9" xr:uid="{3FE8CB29-2D3F-4475-8076-85314FAA5C42}"/>
  <tableColumns count="5">
    <tableColumn id="5" xr3:uid="{3299D2A7-1022-48EE-99A8-5EDCC4A18D7C}" name="Código" dataDxfId="28"/>
    <tableColumn id="1" xr3:uid="{5957F8AA-CE75-4BE8-A28F-E63751C6F321}" name="Empresa" dataDxfId="27"/>
    <tableColumn id="2" xr3:uid="{714E240A-6400-4353-BAFA-98056A75BEB8}" name="Telefone" dataDxfId="26"/>
    <tableColumn id="3" xr3:uid="{83F2A368-4F63-4459-A8E0-C24478833107}" name="Responsável" dataDxfId="25"/>
    <tableColumn id="4" xr3:uid="{B26AA4D1-77D3-4E4E-8E26-1DD67159E60C}" name="E-mail" dataDxfId="24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F59" totalsRowShown="0" headerRowDxfId="23" dataDxfId="22">
  <autoFilter ref="B5:F59" xr:uid="{96889516-6D39-4469-A223-4B0F7168EF79}"/>
  <tableColumns count="5">
    <tableColumn id="8" xr3:uid="{CAB62F4D-59CF-4CCC-B440-3AEC6212FBFC}" name="Mês" dataDxfId="21">
      <calculatedColumnFormula>MONTH(TB_Entradas[[#This Row],[Data]])</calculatedColumnFormula>
    </tableColumn>
    <tableColumn id="1" xr3:uid="{701AD28A-1CD8-44C9-BCEB-958AEB0E91DD}" name="Data" dataDxfId="20"/>
    <tableColumn id="2" xr3:uid="{F247CE0B-0EF4-4B75-A4B5-2205D8CF8B59}" name="Código Produto" dataDxfId="19"/>
    <tableColumn id="3" xr3:uid="{1A5D1499-6E9D-496F-95A9-F290D6FBA0EA}" name="Fornecedor" dataDxfId="18"/>
    <tableColumn id="4" xr3:uid="{8E9FF413-1C84-4664-AA13-4DDF2E3D7D9D}" name="Quantidade Comprada" dataDxfId="17" dataCellStyle="Moeda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E62" totalsRowShown="0" headerRowDxfId="16" dataDxfId="15">
  <autoFilter ref="B5:E62" xr:uid="{586A585A-A0FE-42A4-967D-5B04DAD1156E}"/>
  <tableColumns count="4">
    <tableColumn id="6" xr3:uid="{75D2546B-D4F6-4F17-9B6E-3CC3DFA3F39B}" name="Mês" dataDxfId="14">
      <calculatedColumnFormula>MONTH(TB_Saídas[[#This Row],[Data]])</calculatedColumnFormula>
    </tableColumn>
    <tableColumn id="1" xr3:uid="{B4F598A6-4052-4062-950B-44B21BB57036}" name="Data" dataDxfId="13"/>
    <tableColumn id="8" xr3:uid="{148BF3A1-597E-46B2-9BF5-6D48D62CD711}" name="Código Produto" dataDxfId="12"/>
    <tableColumn id="3" xr3:uid="{BE1ABBF0-3358-4840-B3C0-322DEDC290E1}" name="Quantidade Vendida" dataDxfId="11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EF29C-00D0-4030-B676-536CD20FE6BA}" name="TB_ControleEstoque" displayName="TB_ControleEstoque" ref="B5:J15" totalsRowShown="0" headerRowDxfId="8">
  <autoFilter ref="B5:J15" xr:uid="{347EF29C-00D0-4030-B676-536CD20FE6BA}"/>
  <tableColumns count="9">
    <tableColumn id="1" xr3:uid="{78F980A1-14CD-4F6E-AB99-C4BA00BC2581}" name="Produto"/>
    <tableColumn id="2" xr3:uid="{9FA7D6B5-DE47-4204-B1E9-DAFE01D4EAF5}" name="Entradas" dataDxfId="7">
      <calculatedColumnFormula>IFERROR(SUMIF(TB_Entradas[Código Produto],TB_ControleEstoque[[#This Row],[Produto]],TB_Entradas[Quantidade Comprada]),0)</calculatedColumnFormula>
    </tableColumn>
    <tableColumn id="3" xr3:uid="{04DB3B99-65C1-4C73-B7D8-37E1EF01C436}" name="Saídas " dataDxfId="6">
      <calculatedColumnFormula>IFERROR(SUMIF(#REF!,TB_ControleEstoque[[#This Row],[Produto]],TB_Saídas[Quantidade Vendida]),0)</calculatedColumnFormula>
    </tableColumn>
    <tableColumn id="4" xr3:uid="{B85F1C2D-6598-4EDB-AA8B-8C804F21F72A}" name="Saldo em Estoque" dataDxfId="5">
      <calculatedColumnFormula>TB_ControleEstoque[[#This Row],[Entradas]]-TB_ControleEstoque[[#This Row],[Saídas ]]</calculatedColumnFormula>
    </tableColumn>
    <tableColumn id="5" xr3:uid="{758D7A90-134E-40AE-9F13-5CDB85014396}" name="Estoque Mínimo" dataDxfId="4">
      <calculatedColumnFormula>_xlfn.XLOOKUP(TB_ControleEstoque[[#This Row],[Produto]],TB_Produtos[Produto],TB_Produtos[Estoque Mínimo],"Erro",0,1)</calculatedColumnFormula>
    </tableColumn>
    <tableColumn id="6" xr3:uid="{4FAD9CB5-0E7D-4896-A58D-3F8ECEA4574F}" name="Status do Estoque" dataDxfId="3">
      <calculatedColumnFormula array="1">_xlfn.IFS(TB_ControleEstoque[[#This Row],[Saldo em Estoque]]&gt;TB_ControleEstoque[[#This Row],[Estoque Mínimo]],"Estoque OK",TB_ControleEstoque[[#This Row],[Saldo em Estoque]]=0,"Estoque Zerado",1,"Repor Estoque")</calculatedColumnFormula>
    </tableColumn>
    <tableColumn id="7" xr3:uid="{0A19DE5A-1DA5-4990-856A-1447B740447E}" name="Valor de Venda" dataDxfId="2">
      <calculatedColumnFormula>SUMIFS(#REF!,#REF!,TB_ControleEstoque[[#This Row],[Produto]])</calculatedColumnFormula>
    </tableColumn>
    <tableColumn id="8" xr3:uid="{DB00E371-8CEA-4DB3-9B0C-5445F8370CE3}" name="Custo Total" dataDxfId="1">
      <calculatedColumnFormula>SUMIFS(#REF!,TB_Entradas[Código Produto],TB_ControleEstoque[[#This Row],[Produto]])</calculatedColumnFormula>
    </tableColumn>
    <tableColumn id="9" xr3:uid="{15E00F21-6DB5-437E-ABC8-BDF107CA8A75}" name="Lucro" dataDxfId="0">
      <calculatedColumnFormula>TB_ControleEstoque[[#This Row],[Valor de Venda]]-TB_ControleEstoque[[#This Row],[Custo Total]]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BF5412DC-9FF5-4F61-90A8-99137ADBA084}" sourceName="Data">
  <state minimalRefreshVersion="6" lastRefreshVersion="6" pivotCacheId="1749037519" filterType="unknown">
    <bounds startDate="2022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712E7EFD-B2E3-4556-BD88-6A4E4B43B91E}" cache="NativeTimeline_Data" caption="Data" level="2" selectionLevel="2" scrollPosition="2022-01-01T00:00:00" style="TimeSlicerStyleLight3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11/relationships/timeline" Target="../timelines/timeline1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5.xml"/><Relationship Id="rId4" Type="http://schemas.openxmlformats.org/officeDocument/2006/relationships/hyperlink" Target="mailto:claudia@salgadosgran.com.b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0.xm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0E9D-A9B9-46A6-9BD4-5E3AB63DF7EA}">
  <dimension ref="B3:DS53"/>
  <sheetViews>
    <sheetView showGridLines="0" showRowColHeaders="0" tabSelected="1" zoomScale="80" zoomScaleNormal="80" workbookViewId="0">
      <selection activeCell="DJ13" sqref="DJ13"/>
    </sheetView>
  </sheetViews>
  <sheetFormatPr defaultColWidth="2.28515625" defaultRowHeight="9" customHeight="1"/>
  <cols>
    <col min="1" max="1" width="2.28515625" customWidth="1"/>
    <col min="16" max="16" width="2.28515625" customWidth="1"/>
    <col min="114" max="114" width="11" bestFit="1" customWidth="1"/>
  </cols>
  <sheetData>
    <row r="3" spans="2:104" ht="9" customHeight="1">
      <c r="B3" s="120" t="s">
        <v>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</row>
    <row r="4" spans="2:104" ht="9" customHeight="1"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2:104" ht="9" customHeight="1" thickBo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4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2:104" ht="9" customHeigh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E6" s="163" t="s">
        <v>1</v>
      </c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5"/>
      <c r="AV6" s="169" t="s">
        <v>2</v>
      </c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1"/>
      <c r="BM6" s="163" t="s">
        <v>3</v>
      </c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5"/>
      <c r="CD6" s="169" t="s">
        <v>4</v>
      </c>
      <c r="CE6" s="170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  <c r="CR6" s="171"/>
    </row>
    <row r="7" spans="2:104" ht="9" customHeight="1" thickBot="1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4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E7" s="166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8"/>
      <c r="AV7" s="172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4"/>
      <c r="BM7" s="166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8"/>
      <c r="CD7" s="172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4"/>
    </row>
    <row r="8" spans="2:104" ht="9" customHeight="1">
      <c r="P8" s="4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E8" s="111">
        <f>GETPIVOTDATA("[Measures].[Total Preco Venda]",Saídas!$H$5)</f>
        <v>19042.5</v>
      </c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3"/>
      <c r="AV8" s="111">
        <f>GETPIVOTDATA("[Measures].[Despesas]",Entradas!$H$5)</f>
        <v>5530</v>
      </c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3"/>
      <c r="BK8" s="20"/>
      <c r="BL8" s="20"/>
      <c r="BM8" s="184">
        <f>(AE8-AV8)/AV8</f>
        <v>2.4434900542495481</v>
      </c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6"/>
      <c r="CD8" s="175">
        <f>GETPIVOTDATA("[Measures].[Media Venda]",Saídas!$H$5)</f>
        <v>45.526315789473685</v>
      </c>
      <c r="CE8" s="176"/>
      <c r="CF8" s="176"/>
      <c r="CG8" s="176"/>
      <c r="CH8" s="176"/>
      <c r="CI8" s="176"/>
      <c r="CJ8" s="176"/>
      <c r="CK8" s="176"/>
      <c r="CL8" s="176"/>
      <c r="CM8" s="176"/>
      <c r="CN8" s="176"/>
      <c r="CO8" s="176"/>
      <c r="CP8" s="176"/>
      <c r="CQ8" s="176"/>
      <c r="CR8" s="177"/>
    </row>
    <row r="9" spans="2:104" ht="9" customHeight="1">
      <c r="P9" s="4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E9" s="114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6"/>
      <c r="AV9" s="114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6"/>
      <c r="BK9" s="20"/>
      <c r="BL9" s="20"/>
      <c r="BM9" s="187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9"/>
      <c r="CD9" s="178"/>
      <c r="CE9" s="179"/>
      <c r="CF9" s="179"/>
      <c r="CG9" s="179"/>
      <c r="CH9" s="179"/>
      <c r="CI9" s="179"/>
      <c r="CJ9" s="179"/>
      <c r="CK9" s="179"/>
      <c r="CL9" s="179"/>
      <c r="CM9" s="179"/>
      <c r="CN9" s="179"/>
      <c r="CO9" s="179"/>
      <c r="CP9" s="179"/>
      <c r="CQ9" s="179"/>
      <c r="CR9" s="180"/>
    </row>
    <row r="10" spans="2:104" ht="9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AE10" s="114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6"/>
      <c r="AV10" s="114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6"/>
      <c r="BK10" s="20"/>
      <c r="BL10" s="20"/>
      <c r="BM10" s="187"/>
      <c r="BN10" s="188"/>
      <c r="BO10" s="188"/>
      <c r="BP10" s="188"/>
      <c r="BQ10" s="188"/>
      <c r="BR10" s="188"/>
      <c r="BS10" s="188"/>
      <c r="BT10" s="188"/>
      <c r="BU10" s="188"/>
      <c r="BV10" s="188"/>
      <c r="BW10" s="188"/>
      <c r="BX10" s="188"/>
      <c r="BY10" s="188"/>
      <c r="BZ10" s="188"/>
      <c r="CA10" s="189"/>
      <c r="CD10" s="178"/>
      <c r="CE10" s="179"/>
      <c r="CF10" s="179"/>
      <c r="CG10" s="179"/>
      <c r="CH10" s="179"/>
      <c r="CI10" s="179"/>
      <c r="CJ10" s="179"/>
      <c r="CK10" s="179"/>
      <c r="CL10" s="179"/>
      <c r="CM10" s="179"/>
      <c r="CN10" s="179"/>
      <c r="CO10" s="179"/>
      <c r="CP10" s="179"/>
      <c r="CQ10" s="179"/>
      <c r="CR10" s="180"/>
    </row>
    <row r="11" spans="2:104" ht="9" customHeight="1" thickBot="1">
      <c r="AE11" s="117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9"/>
      <c r="AV11" s="117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9"/>
      <c r="BK11" s="20"/>
      <c r="BL11" s="20"/>
      <c r="BM11" s="190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2"/>
      <c r="CC11" s="6"/>
      <c r="CD11" s="181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3"/>
      <c r="CS11" s="6"/>
      <c r="CT11" s="6"/>
      <c r="CU11" s="6"/>
      <c r="CW11" s="6"/>
      <c r="CX11" s="6"/>
      <c r="CY11" s="6"/>
      <c r="CZ11" s="6"/>
    </row>
    <row r="12" spans="2:104" ht="9" customHeight="1" thickBot="1">
      <c r="AR12" s="15"/>
      <c r="BJ12" s="19"/>
      <c r="BK12" s="20"/>
      <c r="BL12" s="20"/>
      <c r="CB12" s="14"/>
      <c r="CC12" s="22"/>
    </row>
    <row r="13" spans="2:104" ht="9" customHeight="1">
      <c r="Y13" s="163" t="s">
        <v>5</v>
      </c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5"/>
      <c r="CC13" s="22"/>
      <c r="CD13" s="163" t="s">
        <v>6</v>
      </c>
      <c r="CE13" s="164"/>
      <c r="CF13" s="164"/>
      <c r="CG13" s="164"/>
      <c r="CH13" s="164"/>
      <c r="CI13" s="164"/>
      <c r="CJ13" s="164"/>
      <c r="CK13" s="164"/>
      <c r="CL13" s="164"/>
      <c r="CM13" s="164"/>
      <c r="CN13" s="164"/>
      <c r="CO13" s="164"/>
      <c r="CP13" s="164"/>
      <c r="CQ13" s="164"/>
      <c r="CR13" s="164"/>
      <c r="CS13" s="164"/>
      <c r="CT13" s="164"/>
      <c r="CU13" s="164"/>
      <c r="CV13" s="164"/>
      <c r="CW13" s="164"/>
      <c r="CX13" s="164"/>
      <c r="CY13" s="164"/>
      <c r="CZ13" s="165"/>
    </row>
    <row r="14" spans="2:104" ht="9" customHeight="1" thickBot="1">
      <c r="Y14" s="166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8"/>
      <c r="CC14" s="21"/>
      <c r="CD14" s="166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8"/>
    </row>
    <row r="15" spans="2:104" ht="9" customHeight="1">
      <c r="Y15" s="154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6"/>
      <c r="CC15" s="21"/>
      <c r="CD15" s="154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6"/>
    </row>
    <row r="16" spans="2:104" ht="9" customHeight="1">
      <c r="Y16" s="157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9"/>
      <c r="CC16" s="21"/>
      <c r="CD16" s="157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9"/>
    </row>
    <row r="17" spans="24:104" ht="9" customHeight="1">
      <c r="Y17" s="157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9"/>
      <c r="CC17" s="21"/>
      <c r="CD17" s="157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9"/>
    </row>
    <row r="18" spans="24:104" ht="9" customHeight="1">
      <c r="X18" s="14"/>
      <c r="Y18" s="157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9"/>
      <c r="CC18" s="21"/>
      <c r="CD18" s="157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9"/>
    </row>
    <row r="19" spans="24:104" ht="9" customHeight="1">
      <c r="Y19" s="157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9"/>
      <c r="CD19" s="157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9"/>
    </row>
    <row r="20" spans="24:104" ht="9" customHeight="1">
      <c r="Y20" s="157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9"/>
      <c r="CD20" s="157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9"/>
    </row>
    <row r="21" spans="24:104" ht="9" customHeight="1">
      <c r="Y21" s="157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9"/>
      <c r="CD21" s="157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9"/>
    </row>
    <row r="22" spans="24:104" ht="9" customHeight="1"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8"/>
      <c r="BZ22" s="158"/>
      <c r="CA22" s="159"/>
      <c r="CD22" s="157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  <c r="CO22" s="158"/>
      <c r="CP22" s="158"/>
      <c r="CQ22" s="158"/>
      <c r="CR22" s="158"/>
      <c r="CS22" s="158"/>
      <c r="CT22" s="158"/>
      <c r="CU22" s="158"/>
      <c r="CV22" s="158"/>
      <c r="CW22" s="158"/>
      <c r="CX22" s="158"/>
      <c r="CY22" s="158"/>
      <c r="CZ22" s="159"/>
    </row>
    <row r="23" spans="24:104" ht="9" customHeight="1">
      <c r="Y23" s="157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58"/>
      <c r="BY23" s="158"/>
      <c r="BZ23" s="158"/>
      <c r="CA23" s="159"/>
      <c r="CD23" s="157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  <c r="CO23" s="158"/>
      <c r="CP23" s="158"/>
      <c r="CQ23" s="158"/>
      <c r="CR23" s="158"/>
      <c r="CS23" s="158"/>
      <c r="CT23" s="158"/>
      <c r="CU23" s="158"/>
      <c r="CV23" s="158"/>
      <c r="CW23" s="158"/>
      <c r="CX23" s="158"/>
      <c r="CY23" s="158"/>
      <c r="CZ23" s="159"/>
    </row>
    <row r="24" spans="24:104" ht="9" customHeight="1">
      <c r="Y24" s="157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58"/>
      <c r="BY24" s="158"/>
      <c r="BZ24" s="158"/>
      <c r="CA24" s="159"/>
      <c r="CD24" s="157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  <c r="CO24" s="158"/>
      <c r="CP24" s="158"/>
      <c r="CQ24" s="158"/>
      <c r="CR24" s="158"/>
      <c r="CS24" s="158"/>
      <c r="CT24" s="158"/>
      <c r="CU24" s="158"/>
      <c r="CV24" s="158"/>
      <c r="CW24" s="158"/>
      <c r="CX24" s="158"/>
      <c r="CY24" s="158"/>
      <c r="CZ24" s="159"/>
    </row>
    <row r="25" spans="24:104" ht="9" customHeight="1">
      <c r="Y25" s="157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9"/>
      <c r="CD25" s="157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  <c r="CO25" s="158"/>
      <c r="CP25" s="158"/>
      <c r="CQ25" s="158"/>
      <c r="CR25" s="158"/>
      <c r="CS25" s="158"/>
      <c r="CT25" s="158"/>
      <c r="CU25" s="158"/>
      <c r="CV25" s="158"/>
      <c r="CW25" s="158"/>
      <c r="CX25" s="158"/>
      <c r="CY25" s="158"/>
      <c r="CZ25" s="159"/>
    </row>
    <row r="26" spans="24:104" ht="9" customHeight="1">
      <c r="Y26" s="157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8"/>
      <c r="BZ26" s="158"/>
      <c r="CA26" s="159"/>
      <c r="CD26" s="157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  <c r="CO26" s="158"/>
      <c r="CP26" s="158"/>
      <c r="CQ26" s="158"/>
      <c r="CR26" s="158"/>
      <c r="CS26" s="158"/>
      <c r="CT26" s="158"/>
      <c r="CU26" s="158"/>
      <c r="CV26" s="158"/>
      <c r="CW26" s="158"/>
      <c r="CX26" s="158"/>
      <c r="CY26" s="158"/>
      <c r="CZ26" s="159"/>
    </row>
    <row r="27" spans="24:104" ht="9" customHeight="1">
      <c r="Y27" s="157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9"/>
      <c r="CD27" s="157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9"/>
    </row>
    <row r="28" spans="24:104" ht="9" customHeight="1">
      <c r="Y28" s="157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9"/>
      <c r="CD28" s="157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9"/>
    </row>
    <row r="29" spans="24:104" ht="9" customHeight="1">
      <c r="Y29" s="157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9"/>
      <c r="CD29" s="157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9"/>
    </row>
    <row r="30" spans="24:104" ht="9" customHeight="1">
      <c r="X30" s="23"/>
      <c r="Y30" s="157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9"/>
      <c r="CD30" s="157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9"/>
    </row>
    <row r="31" spans="24:104" ht="9" customHeight="1">
      <c r="Y31" s="157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9"/>
      <c r="CD31" s="157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9"/>
    </row>
    <row r="32" spans="24:104" ht="9" customHeight="1" thickBot="1">
      <c r="Y32" s="160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1"/>
      <c r="BV32" s="161"/>
      <c r="BW32" s="161"/>
      <c r="BX32" s="161"/>
      <c r="BY32" s="161"/>
      <c r="BZ32" s="161"/>
      <c r="CA32" s="162"/>
      <c r="CC32" s="16"/>
      <c r="CD32" s="160"/>
      <c r="CE32" s="161"/>
      <c r="CF32" s="161"/>
      <c r="CG32" s="161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  <c r="CR32" s="161"/>
      <c r="CS32" s="161"/>
      <c r="CT32" s="161"/>
      <c r="CU32" s="161"/>
      <c r="CV32" s="161"/>
      <c r="CW32" s="161"/>
      <c r="CX32" s="161"/>
      <c r="CY32" s="161"/>
      <c r="CZ32" s="162"/>
    </row>
    <row r="33" spans="24:104" ht="9" customHeight="1" thickBot="1"/>
    <row r="34" spans="24:104" ht="9" customHeight="1">
      <c r="Y34" s="163" t="s">
        <v>7</v>
      </c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5"/>
      <c r="BK34" s="163" t="s">
        <v>8</v>
      </c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5"/>
      <c r="CD34" s="148" t="s">
        <v>9</v>
      </c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50"/>
    </row>
    <row r="35" spans="24:104" ht="9" customHeight="1" thickBot="1">
      <c r="Y35" s="166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8"/>
      <c r="BK35" s="166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8"/>
      <c r="CC35" s="18"/>
      <c r="CD35" s="151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3"/>
    </row>
    <row r="36" spans="24:104" ht="9" customHeight="1">
      <c r="Y36" s="204" t="s">
        <v>10</v>
      </c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6"/>
      <c r="BK36" s="154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6"/>
      <c r="CD36" s="139"/>
      <c r="CE36" s="140"/>
      <c r="CF36" s="140"/>
      <c r="CG36" s="141"/>
      <c r="CH36" s="130"/>
      <c r="CI36" s="131"/>
      <c r="CJ36" s="131"/>
      <c r="CK36" s="131"/>
      <c r="CL36" s="131"/>
      <c r="CM36" s="131"/>
      <c r="CN36" s="131"/>
      <c r="CO36" s="131"/>
      <c r="CP36" s="131"/>
      <c r="CQ36" s="132"/>
      <c r="CR36" s="121"/>
      <c r="CS36" s="122"/>
      <c r="CT36" s="122"/>
      <c r="CU36" s="122"/>
      <c r="CV36" s="122"/>
      <c r="CW36" s="122"/>
      <c r="CX36" s="122"/>
      <c r="CY36" s="122"/>
      <c r="CZ36" s="123"/>
    </row>
    <row r="37" spans="24:104" ht="9" customHeight="1">
      <c r="Y37" s="207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8"/>
      <c r="AU37" s="208"/>
      <c r="AV37" s="208"/>
      <c r="AW37" s="208"/>
      <c r="AX37" s="208"/>
      <c r="AY37" s="208"/>
      <c r="AZ37" s="208"/>
      <c r="BA37" s="208"/>
      <c r="BB37" s="208"/>
      <c r="BC37" s="208"/>
      <c r="BD37" s="208"/>
      <c r="BE37" s="208"/>
      <c r="BF37" s="208"/>
      <c r="BG37" s="208"/>
      <c r="BH37" s="208"/>
      <c r="BI37" s="209"/>
      <c r="BK37" s="157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9"/>
      <c r="CD37" s="142"/>
      <c r="CE37" s="143"/>
      <c r="CF37" s="143"/>
      <c r="CG37" s="144"/>
      <c r="CH37" s="133"/>
      <c r="CI37" s="134"/>
      <c r="CJ37" s="134"/>
      <c r="CK37" s="134"/>
      <c r="CL37" s="134"/>
      <c r="CM37" s="134"/>
      <c r="CN37" s="134"/>
      <c r="CO37" s="134"/>
      <c r="CP37" s="134"/>
      <c r="CQ37" s="135"/>
      <c r="CR37" s="124"/>
      <c r="CS37" s="125"/>
      <c r="CT37" s="125"/>
      <c r="CU37" s="125"/>
      <c r="CV37" s="125"/>
      <c r="CW37" s="125"/>
      <c r="CX37" s="125"/>
      <c r="CY37" s="125"/>
      <c r="CZ37" s="126"/>
    </row>
    <row r="38" spans="24:104" ht="9" customHeight="1">
      <c r="Y38" s="157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9"/>
      <c r="BK38" s="157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9"/>
      <c r="CD38" s="145"/>
      <c r="CE38" s="146"/>
      <c r="CF38" s="146"/>
      <c r="CG38" s="147"/>
      <c r="CH38" s="136"/>
      <c r="CI38" s="137"/>
      <c r="CJ38" s="137"/>
      <c r="CK38" s="137"/>
      <c r="CL38" s="137"/>
      <c r="CM38" s="137"/>
      <c r="CN38" s="137"/>
      <c r="CO38" s="137"/>
      <c r="CP38" s="137"/>
      <c r="CQ38" s="138"/>
      <c r="CR38" s="127"/>
      <c r="CS38" s="128"/>
      <c r="CT38" s="128"/>
      <c r="CU38" s="128"/>
      <c r="CV38" s="128"/>
      <c r="CW38" s="128"/>
      <c r="CX38" s="128"/>
      <c r="CY38" s="128"/>
      <c r="CZ38" s="129"/>
    </row>
    <row r="39" spans="24:104" ht="9" customHeight="1">
      <c r="Y39" s="157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9"/>
      <c r="BK39" s="157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9"/>
      <c r="CD39" s="194"/>
      <c r="CE39" s="195"/>
      <c r="CF39" s="195"/>
      <c r="CG39" s="196"/>
      <c r="CH39" s="197"/>
      <c r="CI39" s="198"/>
      <c r="CJ39" s="198"/>
      <c r="CK39" s="198"/>
      <c r="CL39" s="198"/>
      <c r="CM39" s="198"/>
      <c r="CN39" s="198"/>
      <c r="CO39" s="198"/>
      <c r="CP39" s="198"/>
      <c r="CQ39" s="199"/>
      <c r="CR39" s="200"/>
      <c r="CS39" s="201"/>
      <c r="CT39" s="201"/>
      <c r="CU39" s="201"/>
      <c r="CV39" s="201"/>
      <c r="CW39" s="201"/>
      <c r="CX39" s="201"/>
      <c r="CY39" s="201"/>
      <c r="CZ39" s="202"/>
    </row>
    <row r="40" spans="24:104" ht="9" customHeight="1">
      <c r="X40" s="17"/>
      <c r="Y40" s="157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9"/>
      <c r="BK40" s="157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9"/>
      <c r="CC40" s="16"/>
      <c r="CD40" s="142"/>
      <c r="CE40" s="143"/>
      <c r="CF40" s="143"/>
      <c r="CG40" s="144"/>
      <c r="CH40" s="133"/>
      <c r="CI40" s="134"/>
      <c r="CJ40" s="134"/>
      <c r="CK40" s="134"/>
      <c r="CL40" s="134"/>
      <c r="CM40" s="134"/>
      <c r="CN40" s="134"/>
      <c r="CO40" s="134"/>
      <c r="CP40" s="134"/>
      <c r="CQ40" s="135"/>
      <c r="CR40" s="124"/>
      <c r="CS40" s="125"/>
      <c r="CT40" s="125"/>
      <c r="CU40" s="125"/>
      <c r="CV40" s="125"/>
      <c r="CW40" s="125"/>
      <c r="CX40" s="125"/>
      <c r="CY40" s="125"/>
      <c r="CZ40" s="126"/>
    </row>
    <row r="41" spans="24:104" ht="9" customHeight="1">
      <c r="X41" s="17"/>
      <c r="Y41" s="157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9"/>
      <c r="BK41" s="157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9"/>
      <c r="CD41" s="145"/>
      <c r="CE41" s="146"/>
      <c r="CF41" s="146"/>
      <c r="CG41" s="147"/>
      <c r="CH41" s="136"/>
      <c r="CI41" s="137"/>
      <c r="CJ41" s="137"/>
      <c r="CK41" s="137"/>
      <c r="CL41" s="137"/>
      <c r="CM41" s="137"/>
      <c r="CN41" s="137"/>
      <c r="CO41" s="137"/>
      <c r="CP41" s="137"/>
      <c r="CQ41" s="138"/>
      <c r="CR41" s="127"/>
      <c r="CS41" s="128"/>
      <c r="CT41" s="128"/>
      <c r="CU41" s="128"/>
      <c r="CV41" s="128"/>
      <c r="CW41" s="128"/>
      <c r="CX41" s="128"/>
      <c r="CY41" s="128"/>
      <c r="CZ41" s="129"/>
    </row>
    <row r="42" spans="24:104" ht="9" customHeight="1">
      <c r="Y42" s="157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9"/>
      <c r="BK42" s="157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9"/>
      <c r="CD42" s="194"/>
      <c r="CE42" s="195"/>
      <c r="CF42" s="195"/>
      <c r="CG42" s="196"/>
      <c r="CH42" s="197"/>
      <c r="CI42" s="198"/>
      <c r="CJ42" s="198"/>
      <c r="CK42" s="198"/>
      <c r="CL42" s="198"/>
      <c r="CM42" s="198"/>
      <c r="CN42" s="198"/>
      <c r="CO42" s="198"/>
      <c r="CP42" s="198"/>
      <c r="CQ42" s="199"/>
      <c r="CR42" s="200"/>
      <c r="CS42" s="201"/>
      <c r="CT42" s="201"/>
      <c r="CU42" s="201"/>
      <c r="CV42" s="201"/>
      <c r="CW42" s="201"/>
      <c r="CX42" s="201"/>
      <c r="CY42" s="201"/>
      <c r="CZ42" s="202"/>
    </row>
    <row r="43" spans="24:104" ht="9" customHeight="1">
      <c r="Y43" s="157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9"/>
      <c r="BK43" s="157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9"/>
      <c r="CD43" s="142"/>
      <c r="CE43" s="143"/>
      <c r="CF43" s="143"/>
      <c r="CG43" s="144"/>
      <c r="CH43" s="133"/>
      <c r="CI43" s="134"/>
      <c r="CJ43" s="134"/>
      <c r="CK43" s="134"/>
      <c r="CL43" s="134"/>
      <c r="CM43" s="134"/>
      <c r="CN43" s="134"/>
      <c r="CO43" s="134"/>
      <c r="CP43" s="134"/>
      <c r="CQ43" s="135"/>
      <c r="CR43" s="124"/>
      <c r="CS43" s="125"/>
      <c r="CT43" s="125"/>
      <c r="CU43" s="125"/>
      <c r="CV43" s="125"/>
      <c r="CW43" s="125"/>
      <c r="CX43" s="125"/>
      <c r="CY43" s="125"/>
      <c r="CZ43" s="126"/>
    </row>
    <row r="44" spans="24:104" ht="9" customHeight="1">
      <c r="Y44" s="157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9"/>
      <c r="BK44" s="157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9"/>
      <c r="CD44" s="145"/>
      <c r="CE44" s="146"/>
      <c r="CF44" s="146"/>
      <c r="CG44" s="147"/>
      <c r="CH44" s="136"/>
      <c r="CI44" s="137"/>
      <c r="CJ44" s="137"/>
      <c r="CK44" s="137"/>
      <c r="CL44" s="137"/>
      <c r="CM44" s="137"/>
      <c r="CN44" s="137"/>
      <c r="CO44" s="137"/>
      <c r="CP44" s="137"/>
      <c r="CQ44" s="138"/>
      <c r="CR44" s="127"/>
      <c r="CS44" s="128"/>
      <c r="CT44" s="128"/>
      <c r="CU44" s="128"/>
      <c r="CV44" s="128"/>
      <c r="CW44" s="128"/>
      <c r="CX44" s="128"/>
      <c r="CY44" s="128"/>
      <c r="CZ44" s="129"/>
    </row>
    <row r="45" spans="24:104" ht="9" customHeight="1">
      <c r="Y45" s="157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9"/>
      <c r="BK45" s="157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9"/>
      <c r="CD45" s="194"/>
      <c r="CE45" s="195"/>
      <c r="CF45" s="195"/>
      <c r="CG45" s="196"/>
      <c r="CH45" s="197"/>
      <c r="CI45" s="198"/>
      <c r="CJ45" s="198"/>
      <c r="CK45" s="198"/>
      <c r="CL45" s="198"/>
      <c r="CM45" s="198"/>
      <c r="CN45" s="198"/>
      <c r="CO45" s="198"/>
      <c r="CP45" s="198"/>
      <c r="CQ45" s="199"/>
      <c r="CR45" s="200"/>
      <c r="CS45" s="201"/>
      <c r="CT45" s="201"/>
      <c r="CU45" s="201"/>
      <c r="CV45" s="201"/>
      <c r="CW45" s="201"/>
      <c r="CX45" s="201"/>
      <c r="CY45" s="201"/>
      <c r="CZ45" s="202"/>
    </row>
    <row r="46" spans="24:104" ht="9" customHeight="1">
      <c r="Y46" s="157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9"/>
      <c r="BK46" s="157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9"/>
      <c r="CD46" s="142"/>
      <c r="CE46" s="143"/>
      <c r="CF46" s="143"/>
      <c r="CG46" s="144"/>
      <c r="CH46" s="133"/>
      <c r="CI46" s="134"/>
      <c r="CJ46" s="134"/>
      <c r="CK46" s="134"/>
      <c r="CL46" s="134"/>
      <c r="CM46" s="134"/>
      <c r="CN46" s="134"/>
      <c r="CO46" s="134"/>
      <c r="CP46" s="134"/>
      <c r="CQ46" s="135"/>
      <c r="CR46" s="124"/>
      <c r="CS46" s="125"/>
      <c r="CT46" s="125"/>
      <c r="CU46" s="125"/>
      <c r="CV46" s="125"/>
      <c r="CW46" s="125"/>
      <c r="CX46" s="125"/>
      <c r="CY46" s="125"/>
      <c r="CZ46" s="126"/>
    </row>
    <row r="47" spans="24:104" ht="9" customHeight="1">
      <c r="Y47" s="157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9"/>
      <c r="BK47" s="157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9"/>
      <c r="CD47" s="145"/>
      <c r="CE47" s="146"/>
      <c r="CF47" s="146"/>
      <c r="CG47" s="147"/>
      <c r="CH47" s="136"/>
      <c r="CI47" s="137"/>
      <c r="CJ47" s="137"/>
      <c r="CK47" s="137"/>
      <c r="CL47" s="137"/>
      <c r="CM47" s="137"/>
      <c r="CN47" s="137"/>
      <c r="CO47" s="137"/>
      <c r="CP47" s="137"/>
      <c r="CQ47" s="138"/>
      <c r="CR47" s="127"/>
      <c r="CS47" s="128"/>
      <c r="CT47" s="128"/>
      <c r="CU47" s="128"/>
      <c r="CV47" s="128"/>
      <c r="CW47" s="128"/>
      <c r="CX47" s="128"/>
      <c r="CY47" s="128"/>
      <c r="CZ47" s="129"/>
    </row>
    <row r="48" spans="24:104" ht="9" customHeight="1">
      <c r="Y48" s="157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9"/>
      <c r="BK48" s="157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9"/>
      <c r="CD48" s="194"/>
      <c r="CE48" s="195"/>
      <c r="CF48" s="195"/>
      <c r="CG48" s="196"/>
      <c r="CH48" s="197"/>
      <c r="CI48" s="198"/>
      <c r="CJ48" s="198"/>
      <c r="CK48" s="198"/>
      <c r="CL48" s="198"/>
      <c r="CM48" s="198"/>
      <c r="CN48" s="198"/>
      <c r="CO48" s="198"/>
      <c r="CP48" s="198"/>
      <c r="CQ48" s="199"/>
      <c r="CR48" s="200"/>
      <c r="CS48" s="201"/>
      <c r="CT48" s="201"/>
      <c r="CU48" s="201"/>
      <c r="CV48" s="201"/>
      <c r="CW48" s="201"/>
      <c r="CX48" s="201"/>
      <c r="CY48" s="201"/>
      <c r="CZ48" s="202"/>
    </row>
    <row r="49" spans="25:123" ht="9" customHeight="1">
      <c r="Y49" s="157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9"/>
      <c r="BK49" s="157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9"/>
      <c r="CD49" s="142"/>
      <c r="CE49" s="143"/>
      <c r="CF49" s="143"/>
      <c r="CG49" s="144"/>
      <c r="CH49" s="133"/>
      <c r="CI49" s="134"/>
      <c r="CJ49" s="134"/>
      <c r="CK49" s="134"/>
      <c r="CL49" s="134"/>
      <c r="CM49" s="134"/>
      <c r="CN49" s="134"/>
      <c r="CO49" s="134"/>
      <c r="CP49" s="134"/>
      <c r="CQ49" s="135"/>
      <c r="CR49" s="124"/>
      <c r="CS49" s="125"/>
      <c r="CT49" s="125"/>
      <c r="CU49" s="125"/>
      <c r="CV49" s="125"/>
      <c r="CW49" s="125"/>
      <c r="CX49" s="125"/>
      <c r="CY49" s="125"/>
      <c r="CZ49" s="126"/>
    </row>
    <row r="50" spans="25:123" ht="9" customHeight="1" thickBot="1">
      <c r="Y50" s="160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2"/>
      <c r="BK50" s="160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2"/>
      <c r="CD50" s="210"/>
      <c r="CE50" s="211"/>
      <c r="CF50" s="211"/>
      <c r="CG50" s="212"/>
      <c r="CH50" s="213"/>
      <c r="CI50" s="214"/>
      <c r="CJ50" s="214"/>
      <c r="CK50" s="214"/>
      <c r="CL50" s="214"/>
      <c r="CM50" s="214"/>
      <c r="CN50" s="214"/>
      <c r="CO50" s="214"/>
      <c r="CP50" s="214"/>
      <c r="CQ50" s="215"/>
      <c r="CR50" s="216"/>
      <c r="CS50" s="217"/>
      <c r="CT50" s="217"/>
      <c r="CU50" s="217"/>
      <c r="CV50" s="217"/>
      <c r="CW50" s="217"/>
      <c r="CX50" s="217"/>
      <c r="CY50" s="217"/>
      <c r="CZ50" s="218"/>
    </row>
    <row r="51" spans="25:123" ht="9" customHeight="1">
      <c r="DG51" s="203"/>
      <c r="DH51" s="203"/>
      <c r="DI51" s="203"/>
      <c r="DJ51" s="203"/>
      <c r="DK51" s="203"/>
      <c r="DL51" s="203"/>
      <c r="DM51" s="203"/>
      <c r="DN51" s="203"/>
      <c r="DO51" s="203"/>
      <c r="DP51" s="203"/>
      <c r="DQ51" s="203"/>
      <c r="DR51" s="203"/>
      <c r="DS51" s="203"/>
    </row>
    <row r="52" spans="25:123" ht="9" customHeight="1">
      <c r="DG52" s="203"/>
      <c r="DH52" s="203"/>
      <c r="DI52" s="203"/>
      <c r="DJ52" s="203"/>
      <c r="DK52" s="203"/>
      <c r="DL52" s="203"/>
      <c r="DM52" s="203"/>
      <c r="DN52" s="203"/>
      <c r="DO52" s="203"/>
      <c r="DP52" s="203"/>
      <c r="DQ52" s="203"/>
      <c r="DR52" s="203"/>
      <c r="DS52" s="203"/>
    </row>
    <row r="53" spans="25:123" ht="9" customHeight="1">
      <c r="DG53" s="193"/>
      <c r="DH53" s="193"/>
      <c r="DI53" s="193"/>
      <c r="DJ53" s="193"/>
      <c r="DK53" s="193"/>
      <c r="DL53" s="193"/>
      <c r="DM53" s="193"/>
      <c r="DN53" s="193"/>
      <c r="DO53" s="193"/>
      <c r="DP53" s="193"/>
      <c r="DQ53" s="193"/>
      <c r="DR53" s="193"/>
      <c r="DS53" s="193"/>
    </row>
  </sheetData>
  <dataConsolidate link="1"/>
  <mergeCells count="36">
    <mergeCell ref="CD42:CG44"/>
    <mergeCell ref="CD39:CG41"/>
    <mergeCell ref="CH39:CQ41"/>
    <mergeCell ref="CR39:CZ41"/>
    <mergeCell ref="Y15:CA32"/>
    <mergeCell ref="Y34:BI35"/>
    <mergeCell ref="Y36:BI37"/>
    <mergeCell ref="Y38:BI50"/>
    <mergeCell ref="BK34:CA35"/>
    <mergeCell ref="CH42:CQ44"/>
    <mergeCell ref="CR42:CZ44"/>
    <mergeCell ref="CD48:CG50"/>
    <mergeCell ref="CH48:CQ50"/>
    <mergeCell ref="CR48:CZ50"/>
    <mergeCell ref="BK36:CA50"/>
    <mergeCell ref="DG53:DS53"/>
    <mergeCell ref="CD45:CG47"/>
    <mergeCell ref="CH45:CQ47"/>
    <mergeCell ref="CR45:CZ47"/>
    <mergeCell ref="DG51:DS52"/>
    <mergeCell ref="AE8:AS11"/>
    <mergeCell ref="B3:O7"/>
    <mergeCell ref="CR36:CZ38"/>
    <mergeCell ref="CH36:CQ38"/>
    <mergeCell ref="CD36:CG38"/>
    <mergeCell ref="CD34:CZ35"/>
    <mergeCell ref="CD15:CZ32"/>
    <mergeCell ref="CD13:CZ14"/>
    <mergeCell ref="CD6:CR7"/>
    <mergeCell ref="CD8:CR11"/>
    <mergeCell ref="AV6:BJ7"/>
    <mergeCell ref="AV8:BJ11"/>
    <mergeCell ref="AE6:AS7"/>
    <mergeCell ref="Y13:CA14"/>
    <mergeCell ref="BM8:CA11"/>
    <mergeCell ref="BM6:CA7"/>
  </mergeCells>
  <dataValidations count="1">
    <dataValidation type="list" allowBlank="1" showInputMessage="1" showErrorMessage="1" sqref="Y36" xr:uid="{5A94D5C9-070D-4190-A8C1-B4EC3DF872FF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4FA4-5C82-4BAF-8A34-488F62B0CB20}">
  <dimension ref="A1:Q16"/>
  <sheetViews>
    <sheetView showGridLines="0" workbookViewId="0"/>
  </sheetViews>
  <sheetFormatPr defaultRowHeight="14.45"/>
  <cols>
    <col min="1" max="1" width="26.5703125" bestFit="1" customWidth="1"/>
    <col min="2" max="2" width="13.42578125" bestFit="1" customWidth="1"/>
    <col min="3" max="3" width="11.5703125" bestFit="1" customWidth="1"/>
    <col min="4" max="4" width="6.28515625" bestFit="1" customWidth="1"/>
    <col min="6" max="6" width="14.28515625" bestFit="1" customWidth="1"/>
    <col min="7" max="7" width="5.5703125" bestFit="1" customWidth="1"/>
    <col min="9" max="9" width="32.85546875" bestFit="1" customWidth="1"/>
    <col min="10" max="10" width="11.5703125" bestFit="1" customWidth="1"/>
    <col min="11" max="11" width="13.42578125" bestFit="1" customWidth="1"/>
    <col min="15" max="15" width="25.140625" bestFit="1" customWidth="1"/>
    <col min="16" max="16" width="22.28515625" bestFit="1" customWidth="1"/>
    <col min="17" max="17" width="6.28515625" bestFit="1" customWidth="1"/>
    <col min="21" max="21" width="18.28515625" bestFit="1" customWidth="1"/>
    <col min="22" max="22" width="16.28515625" bestFit="1" customWidth="1"/>
  </cols>
  <sheetData>
    <row r="1" spans="1:17">
      <c r="K1" s="101" t="s">
        <v>11</v>
      </c>
    </row>
    <row r="2" spans="1:17">
      <c r="H2" s="102"/>
    </row>
    <row r="3" spans="1:17">
      <c r="A3" s="88" t="s">
        <v>7</v>
      </c>
      <c r="B3" t="s">
        <v>12</v>
      </c>
      <c r="C3" t="s">
        <v>13</v>
      </c>
      <c r="D3" s="104" t="s">
        <v>14</v>
      </c>
      <c r="F3" s="88" t="s">
        <v>15</v>
      </c>
      <c r="I3" s="88" t="s">
        <v>6</v>
      </c>
      <c r="J3" t="s">
        <v>13</v>
      </c>
      <c r="K3" t="s">
        <v>12</v>
      </c>
      <c r="O3" s="88" t="s">
        <v>9</v>
      </c>
      <c r="P3" t="s">
        <v>16</v>
      </c>
      <c r="Q3" s="104" t="s">
        <v>14</v>
      </c>
    </row>
    <row r="4" spans="1:17">
      <c r="A4" s="89" t="s">
        <v>17</v>
      </c>
      <c r="B4" s="107">
        <v>350</v>
      </c>
      <c r="C4" s="107">
        <v>215</v>
      </c>
      <c r="D4" s="109">
        <v>1</v>
      </c>
      <c r="F4" s="89" t="s">
        <v>18</v>
      </c>
      <c r="G4" s="102">
        <v>4365</v>
      </c>
      <c r="I4" s="89" t="s">
        <v>10</v>
      </c>
      <c r="J4" s="107">
        <v>945</v>
      </c>
      <c r="K4" s="107">
        <v>1635</v>
      </c>
      <c r="O4" s="89" t="s">
        <v>10</v>
      </c>
      <c r="P4" s="105">
        <v>5670</v>
      </c>
      <c r="Q4" s="110">
        <v>1</v>
      </c>
    </row>
    <row r="5" spans="1:17">
      <c r="A5" s="89" t="s">
        <v>19</v>
      </c>
      <c r="B5" s="107">
        <v>345</v>
      </c>
      <c r="C5" s="107">
        <v>263</v>
      </c>
      <c r="D5" s="109">
        <v>1</v>
      </c>
      <c r="F5" s="89" t="s">
        <v>20</v>
      </c>
      <c r="G5" s="102">
        <v>2595</v>
      </c>
      <c r="I5" s="89" t="s">
        <v>21</v>
      </c>
      <c r="J5" s="107">
        <v>500</v>
      </c>
      <c r="K5" s="107">
        <v>750</v>
      </c>
      <c r="O5" s="89" t="s">
        <v>21</v>
      </c>
      <c r="P5" s="105">
        <v>4250</v>
      </c>
      <c r="Q5" s="110">
        <v>1</v>
      </c>
    </row>
    <row r="6" spans="1:17">
      <c r="A6" s="89" t="s">
        <v>22</v>
      </c>
      <c r="B6" s="107">
        <v>240</v>
      </c>
      <c r="C6" s="107">
        <v>168</v>
      </c>
      <c r="D6" s="109">
        <v>1</v>
      </c>
      <c r="I6" s="89" t="s">
        <v>23</v>
      </c>
      <c r="J6" s="107">
        <v>400</v>
      </c>
      <c r="K6" s="107">
        <v>620</v>
      </c>
      <c r="O6" s="89" t="s">
        <v>23</v>
      </c>
      <c r="P6" s="105">
        <v>3000</v>
      </c>
      <c r="Q6" s="110">
        <v>0</v>
      </c>
    </row>
    <row r="7" spans="1:17">
      <c r="A7" s="89" t="s">
        <v>24</v>
      </c>
      <c r="B7" s="107">
        <v>440</v>
      </c>
      <c r="C7" s="107">
        <v>235</v>
      </c>
      <c r="D7" s="109">
        <v>1</v>
      </c>
      <c r="I7" s="89" t="s">
        <v>25</v>
      </c>
      <c r="J7" s="107">
        <v>245</v>
      </c>
      <c r="K7" s="107">
        <v>550</v>
      </c>
      <c r="O7" s="89" t="s">
        <v>26</v>
      </c>
      <c r="P7" s="105">
        <v>1680</v>
      </c>
      <c r="Q7" s="110">
        <v>-1</v>
      </c>
    </row>
    <row r="8" spans="1:17">
      <c r="A8" s="89" t="s">
        <v>27</v>
      </c>
      <c r="B8" s="107">
        <v>390</v>
      </c>
      <c r="C8" s="107">
        <v>210</v>
      </c>
      <c r="D8" s="109">
        <v>1</v>
      </c>
      <c r="I8" s="89" t="s">
        <v>26</v>
      </c>
      <c r="J8" s="107">
        <v>210</v>
      </c>
      <c r="K8" s="107">
        <v>350</v>
      </c>
      <c r="O8" s="89" t="s">
        <v>25</v>
      </c>
      <c r="P8" s="105">
        <v>1592.5</v>
      </c>
      <c r="Q8" s="110">
        <v>-1</v>
      </c>
    </row>
    <row r="9" spans="1:17">
      <c r="A9" s="89" t="s">
        <v>28</v>
      </c>
      <c r="B9" s="107">
        <v>350</v>
      </c>
      <c r="C9" s="107">
        <v>295</v>
      </c>
      <c r="D9" s="109">
        <v>1</v>
      </c>
      <c r="I9" s="89" t="s">
        <v>29</v>
      </c>
      <c r="J9" s="107">
        <v>2300</v>
      </c>
      <c r="K9" s="107">
        <v>3905</v>
      </c>
      <c r="O9" s="89" t="s">
        <v>29</v>
      </c>
      <c r="P9" s="105">
        <v>16192.5</v>
      </c>
      <c r="Q9" s="110">
        <v>1</v>
      </c>
    </row>
    <row r="10" spans="1:17">
      <c r="A10" s="89" t="s">
        <v>30</v>
      </c>
      <c r="B10" s="107">
        <v>410</v>
      </c>
      <c r="C10" s="107">
        <v>170</v>
      </c>
      <c r="D10" s="109">
        <v>0</v>
      </c>
    </row>
    <row r="11" spans="1:17">
      <c r="A11" s="89" t="s">
        <v>31</v>
      </c>
      <c r="B11" s="107">
        <v>285</v>
      </c>
      <c r="C11" s="107">
        <v>177</v>
      </c>
      <c r="D11" s="109">
        <v>1</v>
      </c>
    </row>
    <row r="12" spans="1:17">
      <c r="A12" s="89" t="s">
        <v>32</v>
      </c>
      <c r="B12" s="107">
        <v>640</v>
      </c>
      <c r="C12" s="107">
        <v>315</v>
      </c>
      <c r="D12" s="109">
        <v>0</v>
      </c>
      <c r="E12" s="103"/>
    </row>
    <row r="13" spans="1:17">
      <c r="A13" s="89" t="s">
        <v>33</v>
      </c>
      <c r="B13" s="107">
        <v>280</v>
      </c>
      <c r="C13" s="107">
        <v>119</v>
      </c>
      <c r="D13" s="109">
        <v>0</v>
      </c>
    </row>
    <row r="14" spans="1:17">
      <c r="A14" s="89" t="s">
        <v>34</v>
      </c>
      <c r="B14" s="107">
        <v>236</v>
      </c>
      <c r="C14" s="107">
        <v>163</v>
      </c>
      <c r="D14" s="109">
        <v>1</v>
      </c>
    </row>
    <row r="15" spans="1:17">
      <c r="A15" s="89" t="s">
        <v>35</v>
      </c>
      <c r="B15" s="107">
        <v>399</v>
      </c>
      <c r="C15" s="107">
        <v>265</v>
      </c>
      <c r="D15" s="109">
        <v>1</v>
      </c>
    </row>
    <row r="16" spans="1:17">
      <c r="A16" s="89" t="s">
        <v>29</v>
      </c>
      <c r="B16" s="107">
        <v>4365</v>
      </c>
      <c r="C16" s="107">
        <v>2595</v>
      </c>
      <c r="D16" s="109">
        <v>1</v>
      </c>
    </row>
  </sheetData>
  <conditionalFormatting pivot="1" sqref="D4:D16">
    <cfRule type="iconSet" priority="12">
      <iconSet iconSet="3Symbols" showValue="0">
        <cfvo type="num" val="-1"/>
        <cfvo type="num" val="-0.5"/>
        <cfvo type="num" val="0.5"/>
      </iconSet>
    </cfRule>
  </conditionalFormatting>
  <conditionalFormatting pivot="1" sqref="Q4:Q9">
    <cfRule type="iconSet" priority="1">
      <iconSet iconSet="3Symbols" showValue="0">
        <cfvo type="num" val="-1"/>
        <cfvo type="num" val="-0.5"/>
        <cfvo type="num" val="0.5"/>
      </iconSet>
    </cfRule>
  </conditionalFormatting>
  <hyperlinks>
    <hyperlink ref="K1" location="Dashboard!A1" display="Voltar ao Dash" xr:uid="{9CA112C1-05D8-4DBA-A5B6-B25623E99A3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8892-76FA-4C1B-9CB4-9904E1B15F36}">
  <dimension ref="A1:V27"/>
  <sheetViews>
    <sheetView topLeftCell="B1" workbookViewId="0">
      <selection activeCell="U2" sqref="U2:V3"/>
    </sheetView>
  </sheetViews>
  <sheetFormatPr defaultRowHeight="14.45"/>
  <cols>
    <col min="2" max="2" width="10.7109375" bestFit="1" customWidth="1"/>
    <col min="3" max="3" width="10" customWidth="1"/>
    <col min="4" max="4" width="8.7109375" customWidth="1"/>
    <col min="5" max="5" width="3.7109375" customWidth="1"/>
    <col min="6" max="6" width="15.7109375" bestFit="1" customWidth="1"/>
    <col min="7" max="7" width="13.28515625" bestFit="1" customWidth="1"/>
    <col min="8" max="8" width="10.42578125" bestFit="1" customWidth="1"/>
    <col min="12" max="12" width="11.7109375" bestFit="1" customWidth="1"/>
    <col min="13" max="13" width="10.28515625" bestFit="1" customWidth="1"/>
  </cols>
  <sheetData>
    <row r="1" spans="1:22">
      <c r="A1" t="str" cm="1">
        <f t="array" ref="A1:A27">TB_Produtos[Produto]</f>
        <v>Café</v>
      </c>
      <c r="B1" t="e">
        <f>SUMIF(#REF!,A1,TB_Saídas[Quantidade Vendida])</f>
        <v>#REF!</v>
      </c>
      <c r="C1" t="e">
        <f>SUMIF(#REF!,A1,#REF!)</f>
        <v>#REF!</v>
      </c>
      <c r="E1" s="79" t="s">
        <v>36</v>
      </c>
      <c r="G1" s="78"/>
      <c r="H1" s="78"/>
      <c r="J1" s="79" t="s">
        <v>37</v>
      </c>
      <c r="K1" s="79"/>
      <c r="L1" s="79"/>
      <c r="M1" s="79"/>
      <c r="O1" s="78"/>
      <c r="P1" s="79" t="s">
        <v>38</v>
      </c>
      <c r="Q1" s="79"/>
      <c r="R1" s="78"/>
      <c r="T1" t="s">
        <v>39</v>
      </c>
    </row>
    <row r="2" spans="1:22">
      <c r="A2" t="str">
        <v>Pão</v>
      </c>
      <c r="B2" t="e">
        <f>SUMIF(#REF!,A2,TB_Saídas[Quantidade Vendida])</f>
        <v>#REF!</v>
      </c>
      <c r="C2" t="e">
        <f>SUMIF(#REF!,A2,#REF!)</f>
        <v>#REF!</v>
      </c>
      <c r="E2" s="75"/>
      <c r="F2" s="75" t="s">
        <v>40</v>
      </c>
      <c r="G2" s="76" t="s">
        <v>41</v>
      </c>
      <c r="H2" s="76" t="s">
        <v>42</v>
      </c>
      <c r="J2" s="76" t="s">
        <v>43</v>
      </c>
      <c r="K2" s="76" t="s">
        <v>44</v>
      </c>
      <c r="L2" s="76" t="s">
        <v>45</v>
      </c>
      <c r="M2" s="76" t="s">
        <v>46</v>
      </c>
      <c r="O2" s="86" t="s">
        <v>40</v>
      </c>
      <c r="P2" s="83" t="s">
        <v>47</v>
      </c>
      <c r="Q2" s="76" t="s">
        <v>48</v>
      </c>
      <c r="R2" s="76" t="s">
        <v>49</v>
      </c>
      <c r="U2" s="87" t="s">
        <v>48</v>
      </c>
      <c r="V2" s="87" t="s">
        <v>49</v>
      </c>
    </row>
    <row r="3" spans="1:22">
      <c r="A3" t="str">
        <v>Coxinha</v>
      </c>
      <c r="B3" t="e">
        <f>SUMIF(#REF!,A3,TB_Saídas[Quantidade Vendida])</f>
        <v>#REF!</v>
      </c>
      <c r="C3" t="e">
        <f>SUMIF(#REF!,A3,#REF!)</f>
        <v>#REF!</v>
      </c>
      <c r="E3" s="74" t="s">
        <v>50</v>
      </c>
      <c r="F3" s="74" t="e">
        <f>_xlfn.XLOOKUP(G3,B:B,A:A,"",0)</f>
        <v>#REF!</v>
      </c>
      <c r="G3" s="77" t="e">
        <f>LARGE(B:B,1)</f>
        <v>#REF!</v>
      </c>
      <c r="H3" s="77">
        <f>SUMIF(TB_Entradas[Código Produto],F3,TB_Entradas[Quantidade Comprada])</f>
        <v>0</v>
      </c>
      <c r="J3" s="77">
        <v>1</v>
      </c>
      <c r="K3" s="82" t="s">
        <v>27</v>
      </c>
      <c r="L3" s="81" t="e">
        <f>SUMIF(TB_Saídas[Mês],'Base Cálculos'!J3,#REF!)</f>
        <v>#REF!</v>
      </c>
      <c r="M3" s="81" t="e">
        <f>SUMIF(TB_Entradas[Mês],'Base Cálculos'!J3,#REF!)</f>
        <v>#REF!</v>
      </c>
      <c r="O3" s="85" t="str">
        <f>Dashboard!Y36</f>
        <v>Café</v>
      </c>
      <c r="P3" s="82" t="str">
        <f t="shared" ref="P3:P14" si="0">K3</f>
        <v>jan</v>
      </c>
      <c r="Q3" s="77">
        <f>SUMIFS(TB_Entradas[Quantidade Comprada],TB_Entradas[Código Produto],$O$3,TB_Entradas[Mês],J3)</f>
        <v>0</v>
      </c>
      <c r="R3" s="77" t="e">
        <f>SUMIFS(TB_Saídas[Quantidade Vendida],#REF!,$O$3,TB_Saídas[Mês],'Base Cálculos'!J3)</f>
        <v>#REF!</v>
      </c>
      <c r="T3" s="84" t="s">
        <v>51</v>
      </c>
      <c r="U3" s="77">
        <f>SUM(Q3:Q14)</f>
        <v>0</v>
      </c>
      <c r="V3" s="77" t="e">
        <f>SUM(R3:R14)</f>
        <v>#REF!</v>
      </c>
    </row>
    <row r="4" spans="1:22">
      <c r="A4" t="str">
        <v>Esfiha</v>
      </c>
      <c r="B4" t="e">
        <f>SUMIF(#REF!,A4,TB_Saídas[Quantidade Vendida])</f>
        <v>#REF!</v>
      </c>
      <c r="C4" t="e">
        <f>SUMIF(#REF!,A4,#REF!)</f>
        <v>#REF!</v>
      </c>
      <c r="E4" s="74" t="s">
        <v>52</v>
      </c>
      <c r="F4" s="74" t="e">
        <f>_xlfn.XLOOKUP(G4,B:B,A:A,"",0)</f>
        <v>#REF!</v>
      </c>
      <c r="G4" s="77" t="e">
        <f>LARGE(B:B,2)</f>
        <v>#REF!</v>
      </c>
      <c r="H4" s="77">
        <f>SUMIF(TB_Entradas[Código Produto],F4,TB_Entradas[Quantidade Comprada])</f>
        <v>0</v>
      </c>
      <c r="J4" s="77">
        <v>2</v>
      </c>
      <c r="K4" s="82" t="s">
        <v>24</v>
      </c>
      <c r="L4" s="81" t="e">
        <f>SUMIF(TB_Saídas[Mês],'Base Cálculos'!J4,#REF!)</f>
        <v>#REF!</v>
      </c>
      <c r="M4" s="81" t="e">
        <f>SUMIF(TB_Entradas[Mês],'Base Cálculos'!J4,#REF!)</f>
        <v>#REF!</v>
      </c>
      <c r="P4" s="82" t="str">
        <f t="shared" si="0"/>
        <v>fev</v>
      </c>
      <c r="Q4" s="77">
        <f>SUMIFS(TB_Entradas[Quantidade Comprada],TB_Entradas[Código Produto],$O$3,TB_Entradas[Mês],J4)</f>
        <v>0</v>
      </c>
      <c r="R4" s="77" t="e">
        <f>SUMIFS(TB_Saídas[Quantidade Vendida],#REF!,$O$3,TB_Saídas[Mês],'Base Cálculos'!J4)</f>
        <v>#REF!</v>
      </c>
    </row>
    <row r="5" spans="1:22">
      <c r="A5" t="str">
        <v>Risoles</v>
      </c>
      <c r="B5" t="e">
        <f>SUMIF(#REF!,A5,TB_Saídas[Quantidade Vendida])</f>
        <v>#REF!</v>
      </c>
      <c r="C5" t="e">
        <f>SUMIF(#REF!,A5,#REF!)</f>
        <v>#REF!</v>
      </c>
      <c r="E5" s="74" t="s">
        <v>53</v>
      </c>
      <c r="F5" s="74" t="e">
        <f>_xlfn.XLOOKUP(G5,B:B,A:A,"",0)</f>
        <v>#REF!</v>
      </c>
      <c r="G5" s="77" t="e">
        <f>LARGE(B:B,3)</f>
        <v>#REF!</v>
      </c>
      <c r="H5" s="77">
        <f>SUMIF(TB_Entradas[Código Produto],F5,TB_Entradas[Quantidade Comprada])</f>
        <v>0</v>
      </c>
      <c r="J5" s="77">
        <v>3</v>
      </c>
      <c r="K5" s="82" t="s">
        <v>32</v>
      </c>
      <c r="L5" s="81" t="e">
        <f>SUMIF(TB_Saídas[Mês],'Base Cálculos'!J5,#REF!)</f>
        <v>#REF!</v>
      </c>
      <c r="M5" s="81" t="e">
        <f>SUMIF(TB_Entradas[Mês],'Base Cálculos'!J5,#REF!)</f>
        <v>#REF!</v>
      </c>
      <c r="P5" s="82" t="str">
        <f t="shared" si="0"/>
        <v>mar</v>
      </c>
      <c r="Q5" s="77">
        <f>SUMIFS(TB_Entradas[Quantidade Comprada],TB_Entradas[Código Produto],$O$3,TB_Entradas[Mês],J5)</f>
        <v>0</v>
      </c>
      <c r="R5" s="77" t="e">
        <f>SUMIFS(TB_Saídas[Quantidade Vendida],#REF!,$O$3,TB_Saídas[Mês],'Base Cálculos'!J5)</f>
        <v>#REF!</v>
      </c>
    </row>
    <row r="6" spans="1:22">
      <c r="A6" t="str">
        <v>Empada</v>
      </c>
      <c r="B6" t="e">
        <f>SUMIF(#REF!,A6,TB_Saídas[Quantidade Vendida])</f>
        <v>#REF!</v>
      </c>
      <c r="C6" t="e">
        <f>SUMIF(#REF!,A6,#REF!)</f>
        <v>#REF!</v>
      </c>
      <c r="E6" s="74" t="s">
        <v>54</v>
      </c>
      <c r="F6" s="74" t="e">
        <f>_xlfn.XLOOKUP(G6,B:B,A:A,"",0)</f>
        <v>#REF!</v>
      </c>
      <c r="G6" s="77" t="e">
        <f>LARGE(B:B,4)</f>
        <v>#REF!</v>
      </c>
      <c r="H6" s="77">
        <f>SUMIF(TB_Entradas[Código Produto],F6,TB_Entradas[Quantidade Comprada])</f>
        <v>0</v>
      </c>
      <c r="J6" s="77">
        <v>4</v>
      </c>
      <c r="K6" s="82" t="s">
        <v>17</v>
      </c>
      <c r="L6" s="81" t="e">
        <f>SUMIF(TB_Saídas[Mês],'Base Cálculos'!J6,#REF!)</f>
        <v>#REF!</v>
      </c>
      <c r="M6" s="81" t="e">
        <f>SUMIF(TB_Entradas[Mês],'Base Cálculos'!J6,#REF!)</f>
        <v>#REF!</v>
      </c>
      <c r="P6" s="82" t="str">
        <f t="shared" si="0"/>
        <v>abr</v>
      </c>
      <c r="Q6" s="77">
        <f>SUMIFS(TB_Entradas[Quantidade Comprada],TB_Entradas[Código Produto],$O$3,TB_Entradas[Mês],J6)</f>
        <v>0</v>
      </c>
      <c r="R6" s="77" t="e">
        <f>SUMIFS(TB_Saídas[Quantidade Vendida],#REF!,$O$3,TB_Saídas[Mês],'Base Cálculos'!J6)</f>
        <v>#REF!</v>
      </c>
    </row>
    <row r="7" spans="1:22">
      <c r="A7" t="str">
        <v>Quibe</v>
      </c>
      <c r="B7" t="e">
        <f>SUMIF(#REF!,A7,TB_Saídas[Quantidade Vendida])</f>
        <v>#REF!</v>
      </c>
      <c r="C7" t="e">
        <f>SUMIF(#REF!,A7,#REF!)</f>
        <v>#REF!</v>
      </c>
      <c r="E7" s="74" t="s">
        <v>55</v>
      </c>
      <c r="F7" s="74" t="e">
        <f>_xlfn.XLOOKUP(G7,B:B,A:A,"",0)</f>
        <v>#REF!</v>
      </c>
      <c r="G7" s="77" t="e">
        <f>LARGE(B:B,5)</f>
        <v>#REF!</v>
      </c>
      <c r="H7" s="77">
        <f>SUMIF(TB_Entradas[Código Produto],F7,TB_Entradas[Quantidade Comprada])</f>
        <v>0</v>
      </c>
      <c r="J7" s="77">
        <v>5</v>
      </c>
      <c r="K7" s="82" t="s">
        <v>31</v>
      </c>
      <c r="L7" s="81" t="e">
        <f>SUMIF(TB_Saídas[Mês],'Base Cálculos'!J7,#REF!)</f>
        <v>#REF!</v>
      </c>
      <c r="M7" s="81" t="e">
        <f>SUMIF(TB_Entradas[Mês],'Base Cálculos'!J7,#REF!)</f>
        <v>#REF!</v>
      </c>
      <c r="P7" s="82" t="str">
        <f t="shared" si="0"/>
        <v>mai</v>
      </c>
      <c r="Q7" s="77">
        <f>SUMIFS(TB_Entradas[Quantidade Comprada],TB_Entradas[Código Produto],$O$3,TB_Entradas[Mês],J7)</f>
        <v>0</v>
      </c>
      <c r="R7" s="77" t="e">
        <f>SUMIFS(TB_Saídas[Quantidade Vendida],#REF!,$O$3,TB_Saídas[Mês],'Base Cálculos'!J7)</f>
        <v>#REF!</v>
      </c>
    </row>
    <row r="8" spans="1:22">
      <c r="A8" t="str">
        <v>Chá</v>
      </c>
      <c r="B8" t="e">
        <f>SUMIF(#REF!,A8,TB_Saídas[Quantidade Vendida])</f>
        <v>#REF!</v>
      </c>
      <c r="C8" t="e">
        <f>SUMIF(#REF!,A8,#REF!)</f>
        <v>#REF!</v>
      </c>
      <c r="J8" s="77">
        <v>6</v>
      </c>
      <c r="K8" s="82" t="s">
        <v>30</v>
      </c>
      <c r="L8" s="81" t="e">
        <f>SUMIF(TB_Saídas[Mês],'Base Cálculos'!J8,#REF!)</f>
        <v>#REF!</v>
      </c>
      <c r="M8" s="81" t="e">
        <f>SUMIF(TB_Entradas[Mês],'Base Cálculos'!J8,#REF!)</f>
        <v>#REF!</v>
      </c>
      <c r="P8" s="82" t="str">
        <f t="shared" si="0"/>
        <v>jun</v>
      </c>
      <c r="Q8" s="77">
        <f>SUMIFS(TB_Entradas[Quantidade Comprada],TB_Entradas[Código Produto],$O$3,TB_Entradas[Mês],J8)</f>
        <v>0</v>
      </c>
      <c r="R8" s="77" t="e">
        <f>SUMIFS(TB_Saídas[Quantidade Vendida],#REF!,$O$3,TB_Saídas[Mês],'Base Cálculos'!J8)</f>
        <v>#REF!</v>
      </c>
    </row>
    <row r="9" spans="1:22">
      <c r="A9" t="str">
        <v>Manteiga</v>
      </c>
      <c r="B9" t="e">
        <f>SUMIF(#REF!,A9,TB_Saídas[Quantidade Vendida])</f>
        <v>#REF!</v>
      </c>
      <c r="C9" t="e">
        <f>SUMIF(#REF!,A9,#REF!)</f>
        <v>#REF!</v>
      </c>
      <c r="J9" s="77">
        <v>7</v>
      </c>
      <c r="K9" s="82" t="s">
        <v>28</v>
      </c>
      <c r="L9" s="81" t="e">
        <f>SUMIF(TB_Saídas[Mês],'Base Cálculos'!J9,#REF!)</f>
        <v>#REF!</v>
      </c>
      <c r="M9" s="81" t="e">
        <f>SUMIF(TB_Entradas[Mês],'Base Cálculos'!J9,#REF!)</f>
        <v>#REF!</v>
      </c>
      <c r="P9" s="82" t="str">
        <f t="shared" si="0"/>
        <v>jul</v>
      </c>
      <c r="Q9" s="77">
        <f>SUMIFS(TB_Entradas[Quantidade Comprada],TB_Entradas[Código Produto],$O$3,TB_Entradas[Mês],J9)</f>
        <v>0</v>
      </c>
      <c r="R9" s="77" t="e">
        <f>SUMIFS(TB_Saídas[Quantidade Vendida],#REF!,$O$3,TB_Saídas[Mês],'Base Cálculos'!J9)</f>
        <v>#REF!</v>
      </c>
    </row>
    <row r="10" spans="1:22">
      <c r="A10" t="str">
        <v>Requeijão</v>
      </c>
      <c r="B10" t="e">
        <f>SUMIF(#REF!,A10,TB_Saídas[Quantidade Vendida])</f>
        <v>#REF!</v>
      </c>
      <c r="C10" t="e">
        <f>SUMIF(#REF!,A10,#REF!)</f>
        <v>#REF!</v>
      </c>
      <c r="E10" s="79" t="s">
        <v>56</v>
      </c>
      <c r="G10" s="78"/>
      <c r="J10" s="77">
        <v>8</v>
      </c>
      <c r="K10" s="82" t="s">
        <v>19</v>
      </c>
      <c r="L10" s="81" t="e">
        <f>SUMIF(TB_Saídas[Mês],'Base Cálculos'!J10,#REF!)</f>
        <v>#REF!</v>
      </c>
      <c r="M10" s="81" t="e">
        <f>SUMIF(TB_Entradas[Mês],'Base Cálculos'!J10,#REF!)</f>
        <v>#REF!</v>
      </c>
      <c r="P10" s="82" t="str">
        <f t="shared" si="0"/>
        <v>ago</v>
      </c>
      <c r="Q10" s="77">
        <f>SUMIFS(TB_Entradas[Quantidade Comprada],TB_Entradas[Código Produto],$O$3,TB_Entradas[Mês],J10)</f>
        <v>0</v>
      </c>
      <c r="R10" s="77" t="e">
        <f>SUMIFS(TB_Saídas[Quantidade Vendida],#REF!,$O$3,TB_Saídas[Mês],'Base Cálculos'!J10)</f>
        <v>#REF!</v>
      </c>
    </row>
    <row r="11" spans="1:22">
      <c r="A11" t="str">
        <v>Chocolate Quente</v>
      </c>
      <c r="B11" t="e">
        <f>SUMIF(#REF!,A11,TB_Saídas[Quantidade Vendida])</f>
        <v>#REF!</v>
      </c>
      <c r="C11" t="e">
        <f>SUMIF(#REF!,A11,#REF!)</f>
        <v>#REF!</v>
      </c>
      <c r="E11" s="75"/>
      <c r="F11" s="75" t="s">
        <v>40</v>
      </c>
      <c r="G11" s="76" t="s">
        <v>45</v>
      </c>
      <c r="J11" s="77">
        <v>9</v>
      </c>
      <c r="K11" s="82" t="s">
        <v>35</v>
      </c>
      <c r="L11" s="81" t="e">
        <f>SUMIF(TB_Saídas[Mês],'Base Cálculos'!J11,#REF!)</f>
        <v>#REF!</v>
      </c>
      <c r="M11" s="81" t="e">
        <f>SUMIF(TB_Entradas[Mês],'Base Cálculos'!J11,#REF!)</f>
        <v>#REF!</v>
      </c>
      <c r="P11" s="82" t="str">
        <f t="shared" si="0"/>
        <v>set</v>
      </c>
      <c r="Q11" s="77">
        <f>SUMIFS(TB_Entradas[Quantidade Comprada],TB_Entradas[Código Produto],$O$3,TB_Entradas[Mês],J11)</f>
        <v>0</v>
      </c>
      <c r="R11" s="77" t="e">
        <f>SUMIFS(TB_Saídas[Quantidade Vendida],#REF!,$O$3,TB_Saídas[Mês],'Base Cálculos'!J11)</f>
        <v>#REF!</v>
      </c>
    </row>
    <row r="12" spans="1:22">
      <c r="A12" t="str">
        <v xml:space="preserve">Leite </v>
      </c>
      <c r="B12" t="e">
        <f>SUMIF(#REF!,A12,TB_Saídas[Quantidade Vendida])</f>
        <v>#REF!</v>
      </c>
      <c r="C12" t="e">
        <f>SUMIF(#REF!,A12,#REF!)</f>
        <v>#REF!</v>
      </c>
      <c r="E12" s="74" t="s">
        <v>50</v>
      </c>
      <c r="F12" s="74" t="e">
        <f>_xlfn.XLOOKUP(G12,C:C,A:A,"",0)</f>
        <v>#REF!</v>
      </c>
      <c r="G12" s="80" t="e">
        <f>LARGE(C:C,1)</f>
        <v>#REF!</v>
      </c>
      <c r="J12" s="77">
        <v>10</v>
      </c>
      <c r="K12" s="82" t="s">
        <v>34</v>
      </c>
      <c r="L12" s="81" t="e">
        <f>SUMIF(TB_Saídas[Mês],'Base Cálculos'!J12,#REF!)</f>
        <v>#REF!</v>
      </c>
      <c r="M12" s="81" t="e">
        <f>SUMIF(TB_Entradas[Mês],'Base Cálculos'!J12,#REF!)</f>
        <v>#REF!</v>
      </c>
      <c r="P12" s="82" t="str">
        <f t="shared" si="0"/>
        <v>out</v>
      </c>
      <c r="Q12" s="77">
        <f>SUMIFS(TB_Entradas[Quantidade Comprada],TB_Entradas[Código Produto],$O$3,TB_Entradas[Mês],J12)</f>
        <v>0</v>
      </c>
      <c r="R12" s="77" t="e">
        <f>SUMIFS(TB_Saídas[Quantidade Vendida],#REF!,$O$3,TB_Saídas[Mês],'Base Cálculos'!J12)</f>
        <v>#REF!</v>
      </c>
    </row>
    <row r="13" spans="1:22">
      <c r="A13" t="str">
        <v>Açúcar</v>
      </c>
      <c r="B13" t="e">
        <f>SUMIF(#REF!,A13,TB_Saídas[Quantidade Vendida])</f>
        <v>#REF!</v>
      </c>
      <c r="C13" t="e">
        <f>SUMIF(#REF!,A13,#REF!)</f>
        <v>#REF!</v>
      </c>
      <c r="E13" s="74" t="s">
        <v>52</v>
      </c>
      <c r="F13" s="74" t="e">
        <f>_xlfn.XLOOKUP(G13,C:C,A:A,"",0)</f>
        <v>#REF!</v>
      </c>
      <c r="G13" s="80" t="e">
        <f>LARGE(C:C,2)</f>
        <v>#REF!</v>
      </c>
      <c r="J13" s="77">
        <v>11</v>
      </c>
      <c r="K13" s="82" t="s">
        <v>33</v>
      </c>
      <c r="L13" s="81" t="e">
        <f>SUMIF(TB_Saídas[Mês],'Base Cálculos'!J13,#REF!)</f>
        <v>#REF!</v>
      </c>
      <c r="M13" s="81" t="e">
        <f>SUMIF(TB_Entradas[Mês],'Base Cálculos'!J13,#REF!)</f>
        <v>#REF!</v>
      </c>
      <c r="P13" s="82" t="str">
        <f t="shared" si="0"/>
        <v>nov</v>
      </c>
      <c r="Q13" s="77">
        <f>SUMIFS(TB_Entradas[Quantidade Comprada],TB_Entradas[Código Produto],$O$3,TB_Entradas[Mês],J13)</f>
        <v>0</v>
      </c>
      <c r="R13" s="77" t="e">
        <f>SUMIFS(TB_Saídas[Quantidade Vendida],#REF!,$O$3,TB_Saídas[Mês],'Base Cálculos'!J13)</f>
        <v>#REF!</v>
      </c>
    </row>
    <row r="14" spans="1:22">
      <c r="A14" t="str">
        <v>Mini Pizza</v>
      </c>
      <c r="B14" t="e">
        <f>SUMIF(#REF!,A14,TB_Saídas[Quantidade Vendida])</f>
        <v>#REF!</v>
      </c>
      <c r="C14" t="e">
        <f>SUMIF(#REF!,A14,#REF!)</f>
        <v>#REF!</v>
      </c>
      <c r="E14" s="74" t="s">
        <v>53</v>
      </c>
      <c r="F14" s="74" t="e">
        <f>_xlfn.XLOOKUP(G14,C:C,A:A,"",0)</f>
        <v>#REF!</v>
      </c>
      <c r="G14" s="80" t="e">
        <f>LARGE(C:C,3)</f>
        <v>#REF!</v>
      </c>
      <c r="J14" s="77">
        <v>12</v>
      </c>
      <c r="K14" s="82" t="s">
        <v>22</v>
      </c>
      <c r="L14" s="81" t="e">
        <f>SUMIF(TB_Saídas[Mês],'Base Cálculos'!J14,#REF!)</f>
        <v>#REF!</v>
      </c>
      <c r="M14" s="81" t="e">
        <f>SUMIF(TB_Entradas[Mês],'Base Cálculos'!J14,#REF!)</f>
        <v>#REF!</v>
      </c>
      <c r="P14" s="82" t="str">
        <f t="shared" si="0"/>
        <v>dez</v>
      </c>
      <c r="Q14" s="77">
        <f>SUMIFS(TB_Entradas[Quantidade Comprada],TB_Entradas[Código Produto],$O$3,TB_Entradas[Mês],J14)</f>
        <v>0</v>
      </c>
      <c r="R14" s="77" t="e">
        <f>SUMIFS(TB_Saídas[Quantidade Vendida],#REF!,$O$3,TB_Saídas[Mês],'Base Cálculos'!J14)</f>
        <v>#REF!</v>
      </c>
    </row>
    <row r="15" spans="1:22">
      <c r="A15" t="str">
        <v>Chantilly</v>
      </c>
      <c r="B15" t="e">
        <f>SUMIF(#REF!,A15,TB_Saídas[Quantidade Vendida])</f>
        <v>#REF!</v>
      </c>
      <c r="C15" t="e">
        <f>SUMIF(#REF!,A15,#REF!)</f>
        <v>#REF!</v>
      </c>
      <c r="E15" s="74" t="s">
        <v>54</v>
      </c>
      <c r="F15" s="74" t="e">
        <f>_xlfn.XLOOKUP(G15,C:C,A:A,"",0)</f>
        <v>#REF!</v>
      </c>
      <c r="G15" s="80" t="e">
        <f>LARGE(C:C,4)</f>
        <v>#REF!</v>
      </c>
    </row>
    <row r="16" spans="1:22">
      <c r="A16" t="str">
        <v>Pão de Queijo</v>
      </c>
      <c r="B16" t="e">
        <f>SUMIF(#REF!,A16,TB_Saídas[Quantidade Vendida])</f>
        <v>#REF!</v>
      </c>
      <c r="C16" t="e">
        <f>SUMIF(#REF!,A16,#REF!)</f>
        <v>#REF!</v>
      </c>
      <c r="E16" s="74" t="s">
        <v>55</v>
      </c>
      <c r="F16" s="74" t="e">
        <f>_xlfn.XLOOKUP(G16,C:C,A:A,"",0)</f>
        <v>#REF!</v>
      </c>
      <c r="G16" s="80" t="e">
        <f>LARGE(C:C,5)</f>
        <v>#REF!</v>
      </c>
    </row>
    <row r="17" spans="1:3">
      <c r="A17" t="str">
        <v>Suco de Laranja</v>
      </c>
      <c r="B17" t="e">
        <f>SUMIF(#REF!,A17,TB_Saídas[Quantidade Vendida])</f>
        <v>#REF!</v>
      </c>
      <c r="C17" t="e">
        <f>SUMIF(#REF!,A17,#REF!)</f>
        <v>#REF!</v>
      </c>
    </row>
    <row r="18" spans="1:3">
      <c r="A18" t="str">
        <v>Hamburguer</v>
      </c>
      <c r="B18" t="e">
        <f>SUMIF(#REF!,A18,TB_Saídas[Quantidade Vendida])</f>
        <v>#REF!</v>
      </c>
      <c r="C18" t="e">
        <f>SUMIF(#REF!,A18,#REF!)</f>
        <v>#REF!</v>
      </c>
    </row>
    <row r="19" spans="1:3">
      <c r="A19" t="str">
        <v>Frango</v>
      </c>
      <c r="B19" t="e">
        <f>SUMIF(#REF!,A19,TB_Saídas[Quantidade Vendida])</f>
        <v>#REF!</v>
      </c>
      <c r="C19" t="e">
        <f>SUMIF(#REF!,A19,#REF!)</f>
        <v>#REF!</v>
      </c>
    </row>
    <row r="20" spans="1:3">
      <c r="A20" t="str">
        <v xml:space="preserve">Água </v>
      </c>
      <c r="B20" t="e">
        <f>SUMIF(#REF!,A20,TB_Saídas[Quantidade Vendida])</f>
        <v>#REF!</v>
      </c>
      <c r="C20" t="e">
        <f>SUMIF(#REF!,A20,#REF!)</f>
        <v>#REF!</v>
      </c>
    </row>
    <row r="21" spans="1:3">
      <c r="A21" t="str">
        <v>Cerveja</v>
      </c>
      <c r="B21" t="e">
        <f>SUMIF(#REF!,A21,TB_Saídas[Quantidade Vendida])</f>
        <v>#REF!</v>
      </c>
      <c r="C21" t="e">
        <f>SUMIF(#REF!,A21,#REF!)</f>
        <v>#REF!</v>
      </c>
    </row>
    <row r="22" spans="1:3">
      <c r="A22" t="str">
        <v>Queijo</v>
      </c>
      <c r="B22" t="e">
        <f>SUMIF(#REF!,A22,TB_Saídas[Quantidade Vendida])</f>
        <v>#REF!</v>
      </c>
      <c r="C22" t="e">
        <f>SUMIF(#REF!,A22,#REF!)</f>
        <v>#REF!</v>
      </c>
    </row>
    <row r="23" spans="1:3">
      <c r="A23" t="str">
        <v>Presunto</v>
      </c>
      <c r="B23" t="e">
        <f>SUMIF(#REF!,A23,TB_Saídas[Quantidade Vendida])</f>
        <v>#REF!</v>
      </c>
      <c r="C23" t="e">
        <f>SUMIF(#REF!,A23,#REF!)</f>
        <v>#REF!</v>
      </c>
    </row>
    <row r="24" spans="1:3">
      <c r="A24" t="str">
        <v>Mortadela</v>
      </c>
      <c r="B24" t="e">
        <f>SUMIF(#REF!,A24,TB_Saídas[Quantidade Vendida])</f>
        <v>#REF!</v>
      </c>
      <c r="C24" t="e">
        <f>SUMIF(#REF!,A24,#REF!)</f>
        <v>#REF!</v>
      </c>
    </row>
    <row r="25" spans="1:3">
      <c r="A25" t="str">
        <v>Peito de Peru</v>
      </c>
      <c r="B25" t="e">
        <f>SUMIF(#REF!,A25,TB_Saídas[Quantidade Vendida])</f>
        <v>#REF!</v>
      </c>
      <c r="C25" t="e">
        <f>SUMIF(#REF!,A25,#REF!)</f>
        <v>#REF!</v>
      </c>
    </row>
    <row r="26" spans="1:3">
      <c r="A26" t="str">
        <v>Refrigerante</v>
      </c>
      <c r="B26" t="e">
        <f>SUMIF(#REF!,A26,TB_Saídas[Quantidade Vendida])</f>
        <v>#REF!</v>
      </c>
      <c r="C26" t="e">
        <f>SUMIF(#REF!,A26,#REF!)</f>
        <v>#REF!</v>
      </c>
    </row>
    <row r="27" spans="1:3">
      <c r="A27" t="str">
        <v>Enroladinho</v>
      </c>
      <c r="B27" t="e">
        <f>SUMIF(#REF!,A27,TB_Saídas[Quantidade Vendida])</f>
        <v>#REF!</v>
      </c>
      <c r="C27" t="e">
        <f>SUMIF(#REF!,A27,#REF!)</f>
        <v>#REF!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B3E1-A809-4664-A2CE-1F4A307BBEA2}">
  <dimension ref="A3:Y18"/>
  <sheetViews>
    <sheetView showGridLines="0" workbookViewId="0">
      <selection activeCell="E12" sqref="E12"/>
    </sheetView>
  </sheetViews>
  <sheetFormatPr defaultColWidth="8.28515625" defaultRowHeight="14.45"/>
  <cols>
    <col min="1" max="1" width="17.28515625" bestFit="1" customWidth="1"/>
    <col min="2" max="2" width="18.5703125" bestFit="1" customWidth="1"/>
    <col min="3" max="3" width="4.140625" bestFit="1" customWidth="1"/>
    <col min="4" max="4" width="6.5703125" bestFit="1" customWidth="1"/>
    <col min="5" max="5" width="4.140625" bestFit="1" customWidth="1"/>
    <col min="6" max="6" width="6.5703125" bestFit="1" customWidth="1"/>
    <col min="7" max="7" width="4.140625" bestFit="1" customWidth="1"/>
    <col min="8" max="8" width="6.5703125" bestFit="1" customWidth="1"/>
    <col min="9" max="9" width="4.140625" bestFit="1" customWidth="1"/>
    <col min="10" max="10" width="6.5703125" bestFit="1" customWidth="1"/>
    <col min="11" max="11" width="4.140625" bestFit="1" customWidth="1"/>
    <col min="12" max="12" width="6.5703125" bestFit="1" customWidth="1"/>
    <col min="13" max="13" width="4.140625" bestFit="1" customWidth="1"/>
    <col min="14" max="14" width="6.5703125" bestFit="1" customWidth="1"/>
    <col min="15" max="15" width="4.140625" bestFit="1" customWidth="1"/>
    <col min="16" max="16" width="6.5703125" bestFit="1" customWidth="1"/>
    <col min="17" max="17" width="4.140625" bestFit="1" customWidth="1"/>
    <col min="18" max="18" width="6.5703125" bestFit="1" customWidth="1"/>
    <col min="19" max="19" width="4.140625" bestFit="1" customWidth="1"/>
    <col min="20" max="20" width="6.5703125" bestFit="1" customWidth="1"/>
    <col min="21" max="21" width="4.140625" bestFit="1" customWidth="1"/>
    <col min="22" max="22" width="6.5703125" bestFit="1" customWidth="1"/>
    <col min="23" max="23" width="4.140625" bestFit="1" customWidth="1"/>
    <col min="24" max="24" width="6.5703125" bestFit="1" customWidth="1"/>
    <col min="25" max="25" width="4.140625" bestFit="1" customWidth="1"/>
  </cols>
  <sheetData>
    <row r="3" spans="1:25">
      <c r="B3" s="88" t="s">
        <v>57</v>
      </c>
    </row>
    <row r="4" spans="1:25">
      <c r="B4" t="s">
        <v>27</v>
      </c>
      <c r="D4" t="s">
        <v>24</v>
      </c>
      <c r="F4" t="s">
        <v>32</v>
      </c>
      <c r="H4" t="s">
        <v>17</v>
      </c>
      <c r="J4" t="s">
        <v>31</v>
      </c>
      <c r="L4" t="s">
        <v>30</v>
      </c>
      <c r="N4" t="s">
        <v>28</v>
      </c>
      <c r="P4" t="s">
        <v>19</v>
      </c>
      <c r="R4" t="s">
        <v>35</v>
      </c>
      <c r="T4" t="s">
        <v>34</v>
      </c>
      <c r="V4" t="s">
        <v>33</v>
      </c>
      <c r="X4" t="s">
        <v>22</v>
      </c>
    </row>
    <row r="6" spans="1:25">
      <c r="A6" s="88" t="s">
        <v>58</v>
      </c>
      <c r="B6" t="s">
        <v>59</v>
      </c>
      <c r="C6" t="s">
        <v>60</v>
      </c>
      <c r="D6" t="s">
        <v>59</v>
      </c>
      <c r="E6" t="s">
        <v>60</v>
      </c>
      <c r="F6" t="s">
        <v>59</v>
      </c>
      <c r="G6" t="s">
        <v>60</v>
      </c>
      <c r="H6" t="s">
        <v>59</v>
      </c>
      <c r="I6" t="s">
        <v>60</v>
      </c>
      <c r="J6" t="s">
        <v>59</v>
      </c>
      <c r="K6" t="s">
        <v>60</v>
      </c>
      <c r="L6" t="s">
        <v>59</v>
      </c>
      <c r="M6" t="s">
        <v>60</v>
      </c>
      <c r="N6" t="s">
        <v>59</v>
      </c>
      <c r="O6" t="s">
        <v>60</v>
      </c>
      <c r="P6" t="s">
        <v>59</v>
      </c>
      <c r="Q6" t="s">
        <v>60</v>
      </c>
      <c r="R6" t="s">
        <v>59</v>
      </c>
      <c r="S6" t="s">
        <v>60</v>
      </c>
      <c r="T6" t="s">
        <v>59</v>
      </c>
      <c r="U6" t="s">
        <v>60</v>
      </c>
      <c r="V6" t="s">
        <v>59</v>
      </c>
      <c r="W6" t="s">
        <v>60</v>
      </c>
      <c r="X6" t="s">
        <v>59</v>
      </c>
      <c r="Y6" t="s">
        <v>60</v>
      </c>
    </row>
    <row r="7" spans="1:25">
      <c r="A7" s="89" t="s">
        <v>61</v>
      </c>
      <c r="B7" s="98"/>
      <c r="D7" s="98"/>
      <c r="F7" s="98"/>
      <c r="H7" s="98"/>
      <c r="J7" s="98"/>
      <c r="L7" s="98"/>
      <c r="N7" s="98"/>
      <c r="P7" s="98"/>
      <c r="R7" s="98"/>
      <c r="T7" s="98"/>
      <c r="V7" s="98">
        <v>25</v>
      </c>
      <c r="W7">
        <v>100</v>
      </c>
      <c r="X7" s="98"/>
    </row>
    <row r="8" spans="1:25">
      <c r="A8" s="89" t="s">
        <v>10</v>
      </c>
      <c r="B8" s="98">
        <v>200</v>
      </c>
      <c r="C8">
        <v>100</v>
      </c>
      <c r="D8" s="98">
        <v>250</v>
      </c>
      <c r="E8">
        <v>125</v>
      </c>
      <c r="F8" s="98">
        <v>300</v>
      </c>
      <c r="G8">
        <v>150</v>
      </c>
      <c r="H8" s="98">
        <v>300</v>
      </c>
      <c r="I8">
        <v>150</v>
      </c>
      <c r="J8" s="98">
        <v>200</v>
      </c>
      <c r="K8">
        <v>100</v>
      </c>
      <c r="L8" s="98">
        <v>300</v>
      </c>
      <c r="M8">
        <v>150</v>
      </c>
      <c r="N8" s="98">
        <v>300</v>
      </c>
      <c r="O8">
        <v>150</v>
      </c>
      <c r="P8" s="98">
        <v>300</v>
      </c>
      <c r="Q8">
        <v>150</v>
      </c>
      <c r="R8" s="98">
        <v>360</v>
      </c>
      <c r="S8">
        <v>180</v>
      </c>
      <c r="T8" s="98">
        <v>200</v>
      </c>
      <c r="U8">
        <v>100</v>
      </c>
      <c r="V8" s="98">
        <v>160</v>
      </c>
      <c r="W8">
        <v>80</v>
      </c>
      <c r="X8" s="98">
        <v>400</v>
      </c>
      <c r="Y8">
        <v>200</v>
      </c>
    </row>
    <row r="9" spans="1:25">
      <c r="A9" s="89" t="s">
        <v>62</v>
      </c>
      <c r="B9" s="98"/>
      <c r="D9" s="98">
        <v>37.5</v>
      </c>
      <c r="E9">
        <v>50</v>
      </c>
      <c r="F9" s="98"/>
      <c r="H9" s="98"/>
      <c r="J9" s="98"/>
      <c r="L9" s="98"/>
      <c r="N9" s="98"/>
      <c r="P9" s="98"/>
      <c r="R9" s="98"/>
      <c r="T9" s="98"/>
      <c r="V9" s="98"/>
      <c r="X9" s="98"/>
    </row>
    <row r="10" spans="1:25">
      <c r="A10" s="89" t="s">
        <v>21</v>
      </c>
      <c r="B10" s="98">
        <v>22.5</v>
      </c>
      <c r="C10">
        <v>90</v>
      </c>
      <c r="D10" s="98">
        <v>20</v>
      </c>
      <c r="E10">
        <v>80</v>
      </c>
      <c r="F10" s="98">
        <v>10</v>
      </c>
      <c r="G10">
        <v>40</v>
      </c>
      <c r="H10" s="98">
        <v>15</v>
      </c>
      <c r="I10">
        <v>60</v>
      </c>
      <c r="J10" s="98">
        <v>11.25</v>
      </c>
      <c r="K10">
        <v>45</v>
      </c>
      <c r="L10" s="98">
        <v>28.75</v>
      </c>
      <c r="M10">
        <v>115</v>
      </c>
      <c r="N10" s="98">
        <v>30</v>
      </c>
      <c r="O10">
        <v>120</v>
      </c>
      <c r="P10" s="98">
        <v>8.75</v>
      </c>
      <c r="Q10">
        <v>35</v>
      </c>
      <c r="R10" s="98">
        <v>8.5</v>
      </c>
      <c r="S10">
        <v>34</v>
      </c>
      <c r="T10" s="98">
        <v>11.5</v>
      </c>
      <c r="U10">
        <v>46</v>
      </c>
      <c r="V10" s="98">
        <v>11.25</v>
      </c>
      <c r="W10">
        <v>45</v>
      </c>
      <c r="X10" s="98">
        <v>10</v>
      </c>
      <c r="Y10">
        <v>40</v>
      </c>
    </row>
    <row r="11" spans="1:25">
      <c r="A11" s="89" t="s">
        <v>25</v>
      </c>
      <c r="B11" s="98">
        <v>50</v>
      </c>
      <c r="C11">
        <v>100</v>
      </c>
      <c r="D11" s="98">
        <v>50</v>
      </c>
      <c r="E11">
        <v>100</v>
      </c>
      <c r="F11" s="98">
        <v>25</v>
      </c>
      <c r="G11">
        <v>50</v>
      </c>
      <c r="H11" s="98">
        <v>25</v>
      </c>
      <c r="I11">
        <v>50</v>
      </c>
      <c r="J11" s="98">
        <v>25</v>
      </c>
      <c r="K11">
        <v>50</v>
      </c>
      <c r="L11" s="98">
        <v>22.5</v>
      </c>
      <c r="M11">
        <v>45</v>
      </c>
      <c r="N11" s="98">
        <v>10</v>
      </c>
      <c r="O11">
        <v>20</v>
      </c>
      <c r="P11" s="98">
        <v>15</v>
      </c>
      <c r="Q11">
        <v>30</v>
      </c>
      <c r="R11" s="98">
        <v>7.5</v>
      </c>
      <c r="S11">
        <v>15</v>
      </c>
      <c r="T11" s="98">
        <v>27.5</v>
      </c>
      <c r="U11">
        <v>55</v>
      </c>
      <c r="V11" s="98">
        <v>17.5</v>
      </c>
      <c r="W11">
        <v>35</v>
      </c>
      <c r="X11" s="98"/>
    </row>
    <row r="12" spans="1:25">
      <c r="A12" s="89" t="s">
        <v>63</v>
      </c>
      <c r="B12" s="98"/>
      <c r="D12" s="98"/>
      <c r="F12" s="98"/>
      <c r="H12" s="98"/>
      <c r="J12" s="98"/>
      <c r="L12" s="98"/>
      <c r="N12" s="98"/>
      <c r="P12" s="98"/>
      <c r="R12" s="98">
        <v>225</v>
      </c>
      <c r="S12">
        <v>50</v>
      </c>
      <c r="T12" s="98"/>
      <c r="V12" s="98"/>
      <c r="X12" s="98"/>
    </row>
    <row r="13" spans="1:25">
      <c r="A13" s="89" t="s">
        <v>64</v>
      </c>
      <c r="B13" s="98"/>
      <c r="D13" s="98"/>
      <c r="F13" s="98"/>
      <c r="H13" s="98"/>
      <c r="J13" s="98">
        <v>480</v>
      </c>
      <c r="K13">
        <v>60</v>
      </c>
      <c r="L13" s="98"/>
      <c r="N13" s="98"/>
      <c r="P13" s="98"/>
      <c r="R13" s="98"/>
      <c r="T13" s="98"/>
      <c r="V13" s="98"/>
      <c r="X13" s="98"/>
    </row>
    <row r="14" spans="1:25">
      <c r="A14" s="89" t="s">
        <v>65</v>
      </c>
      <c r="B14" s="98"/>
      <c r="D14" s="98"/>
      <c r="F14" s="98"/>
      <c r="H14" s="98"/>
      <c r="J14" s="98"/>
      <c r="L14" s="98"/>
      <c r="N14" s="98"/>
      <c r="P14" s="98">
        <v>100</v>
      </c>
      <c r="Q14">
        <v>100</v>
      </c>
      <c r="R14" s="98"/>
      <c r="T14" s="98"/>
      <c r="V14" s="98"/>
      <c r="X14" s="98"/>
    </row>
    <row r="15" spans="1:25">
      <c r="A15" s="89" t="s">
        <v>23</v>
      </c>
      <c r="B15" s="98">
        <v>25</v>
      </c>
      <c r="C15">
        <v>100</v>
      </c>
      <c r="D15" s="98">
        <v>21.25</v>
      </c>
      <c r="E15">
        <v>85</v>
      </c>
      <c r="F15" s="98">
        <v>12.5</v>
      </c>
      <c r="G15">
        <v>50</v>
      </c>
      <c r="H15" s="98">
        <v>22.5</v>
      </c>
      <c r="I15">
        <v>90</v>
      </c>
      <c r="J15" s="98">
        <v>7.5</v>
      </c>
      <c r="K15">
        <v>30</v>
      </c>
      <c r="L15" s="98">
        <v>25</v>
      </c>
      <c r="M15">
        <v>100</v>
      </c>
      <c r="N15" s="98">
        <v>15</v>
      </c>
      <c r="O15">
        <v>60</v>
      </c>
      <c r="P15" s="98">
        <v>7.5</v>
      </c>
      <c r="Q15">
        <v>30</v>
      </c>
      <c r="R15" s="98">
        <v>5</v>
      </c>
      <c r="S15">
        <v>20</v>
      </c>
      <c r="T15" s="98">
        <v>8.75</v>
      </c>
      <c r="U15">
        <v>35</v>
      </c>
      <c r="V15" s="98">
        <v>5</v>
      </c>
      <c r="W15">
        <v>20</v>
      </c>
      <c r="X15" s="98"/>
    </row>
    <row r="16" spans="1:25">
      <c r="A16" s="89" t="s">
        <v>26</v>
      </c>
      <c r="B16" s="98"/>
      <c r="D16" s="98"/>
      <c r="F16" s="98">
        <v>500</v>
      </c>
      <c r="G16">
        <v>250</v>
      </c>
      <c r="H16" s="98"/>
      <c r="J16" s="98"/>
      <c r="L16" s="98"/>
      <c r="N16" s="98"/>
      <c r="P16" s="98"/>
      <c r="R16" s="98">
        <v>200</v>
      </c>
      <c r="S16">
        <v>100</v>
      </c>
      <c r="T16" s="98"/>
      <c r="V16" s="98"/>
      <c r="X16" s="98"/>
    </row>
    <row r="17" spans="1:25">
      <c r="A17" s="89" t="s">
        <v>66</v>
      </c>
      <c r="B17" s="98"/>
      <c r="D17" s="98"/>
      <c r="F17" s="98">
        <v>75</v>
      </c>
      <c r="G17">
        <v>100</v>
      </c>
      <c r="H17" s="98"/>
      <c r="J17" s="98"/>
      <c r="L17" s="98"/>
      <c r="N17" s="98"/>
      <c r="P17" s="98"/>
      <c r="R17" s="98"/>
      <c r="T17" s="98"/>
      <c r="V17" s="98"/>
      <c r="X17" s="98"/>
    </row>
    <row r="18" spans="1:25">
      <c r="A18" s="89" t="s">
        <v>29</v>
      </c>
      <c r="B18" s="98">
        <v>297.5</v>
      </c>
      <c r="C18">
        <v>390</v>
      </c>
      <c r="D18" s="98">
        <v>378.75</v>
      </c>
      <c r="E18">
        <v>440</v>
      </c>
      <c r="F18" s="98">
        <v>922.5</v>
      </c>
      <c r="G18">
        <v>640</v>
      </c>
      <c r="H18" s="98">
        <v>362.5</v>
      </c>
      <c r="I18">
        <v>350</v>
      </c>
      <c r="J18" s="98">
        <v>723.75</v>
      </c>
      <c r="K18">
        <v>285</v>
      </c>
      <c r="L18" s="98">
        <v>376.25</v>
      </c>
      <c r="M18">
        <v>410</v>
      </c>
      <c r="N18" s="98">
        <v>355</v>
      </c>
      <c r="O18">
        <v>350</v>
      </c>
      <c r="P18" s="98">
        <v>431.25</v>
      </c>
      <c r="Q18">
        <v>345</v>
      </c>
      <c r="R18" s="98">
        <v>806</v>
      </c>
      <c r="S18">
        <v>399</v>
      </c>
      <c r="T18" s="98">
        <v>247.75</v>
      </c>
      <c r="U18">
        <v>236</v>
      </c>
      <c r="V18" s="98">
        <v>218.75</v>
      </c>
      <c r="W18">
        <v>280</v>
      </c>
      <c r="X18" s="98">
        <v>410</v>
      </c>
      <c r="Y18">
        <v>240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6B94-5F13-4A36-A8C8-C5A3CBAA875F}">
  <dimension ref="A3:N88"/>
  <sheetViews>
    <sheetView showGridLines="0" workbookViewId="0">
      <selection activeCell="D13" sqref="D13"/>
    </sheetView>
  </sheetViews>
  <sheetFormatPr defaultRowHeight="14.45"/>
  <cols>
    <col min="1" max="1" width="28.28515625" bestFit="1" customWidth="1"/>
    <col min="2" max="2" width="18.5703125" bestFit="1" customWidth="1"/>
    <col min="3" max="3" width="5.7109375" bestFit="1" customWidth="1"/>
    <col min="4" max="4" width="6.28515625" bestFit="1" customWidth="1"/>
    <col min="5" max="5" width="5.7109375" bestFit="1" customWidth="1"/>
    <col min="6" max="6" width="6.140625" bestFit="1" customWidth="1"/>
    <col min="7" max="7" width="5.7109375" bestFit="1" customWidth="1"/>
    <col min="8" max="8" width="5.140625" bestFit="1" customWidth="1"/>
    <col min="9" max="9" width="6.140625" bestFit="1" customWidth="1"/>
    <col min="10" max="10" width="5.42578125" bestFit="1" customWidth="1"/>
    <col min="11" max="11" width="5.85546875" bestFit="1" customWidth="1"/>
    <col min="12" max="12" width="6.28515625" bestFit="1" customWidth="1"/>
    <col min="13" max="13" width="5.85546875" bestFit="1" customWidth="1"/>
    <col min="14" max="14" width="10" bestFit="1" customWidth="1"/>
    <col min="15" max="15" width="21.140625" bestFit="1" customWidth="1"/>
    <col min="16" max="16" width="28.140625" bestFit="1" customWidth="1"/>
    <col min="17" max="17" width="21.140625" bestFit="1" customWidth="1"/>
    <col min="18" max="18" width="28.140625" bestFit="1" customWidth="1"/>
    <col min="19" max="19" width="21.140625" bestFit="1" customWidth="1"/>
    <col min="20" max="20" width="28.140625" bestFit="1" customWidth="1"/>
    <col min="21" max="21" width="21.140625" bestFit="1" customWidth="1"/>
    <col min="22" max="22" width="28.140625" bestFit="1" customWidth="1"/>
    <col min="23" max="23" width="21.140625" bestFit="1" customWidth="1"/>
    <col min="24" max="24" width="28.140625" bestFit="1" customWidth="1"/>
    <col min="25" max="25" width="21.140625" bestFit="1" customWidth="1"/>
    <col min="26" max="26" width="33" bestFit="1" customWidth="1"/>
    <col min="27" max="27" width="25.85546875" bestFit="1" customWidth="1"/>
    <col min="28" max="52" width="10.42578125" bestFit="1" customWidth="1"/>
    <col min="53" max="53" width="10.28515625" bestFit="1" customWidth="1"/>
  </cols>
  <sheetData>
    <row r="3" spans="1:14">
      <c r="A3" s="88" t="s">
        <v>67</v>
      </c>
      <c r="B3" s="88" t="s">
        <v>57</v>
      </c>
    </row>
    <row r="4" spans="1:14">
      <c r="B4" t="s">
        <v>27</v>
      </c>
      <c r="C4" t="s">
        <v>24</v>
      </c>
      <c r="D4" t="s">
        <v>32</v>
      </c>
      <c r="E4" t="s">
        <v>17</v>
      </c>
      <c r="F4" t="s">
        <v>31</v>
      </c>
      <c r="G4" t="s">
        <v>30</v>
      </c>
      <c r="H4" t="s">
        <v>28</v>
      </c>
      <c r="I4" t="s">
        <v>19</v>
      </c>
      <c r="J4" t="s">
        <v>35</v>
      </c>
      <c r="K4" t="s">
        <v>34</v>
      </c>
      <c r="L4" t="s">
        <v>33</v>
      </c>
      <c r="M4" t="s">
        <v>22</v>
      </c>
      <c r="N4" t="s">
        <v>29</v>
      </c>
    </row>
    <row r="5" spans="1:14">
      <c r="A5" s="88" t="s">
        <v>58</v>
      </c>
    </row>
    <row r="6" spans="1:14">
      <c r="A6" s="89" t="s">
        <v>61</v>
      </c>
      <c r="L6">
        <v>100</v>
      </c>
      <c r="N6">
        <v>100</v>
      </c>
    </row>
    <row r="7" spans="1:14">
      <c r="A7" s="89" t="s">
        <v>10</v>
      </c>
      <c r="B7">
        <v>100</v>
      </c>
      <c r="C7">
        <v>125</v>
      </c>
      <c r="D7">
        <v>150</v>
      </c>
      <c r="E7">
        <v>150</v>
      </c>
      <c r="F7">
        <v>100</v>
      </c>
      <c r="G7">
        <v>150</v>
      </c>
      <c r="H7">
        <v>150</v>
      </c>
      <c r="I7">
        <v>150</v>
      </c>
      <c r="J7">
        <v>180</v>
      </c>
      <c r="K7">
        <v>100</v>
      </c>
      <c r="L7">
        <v>80</v>
      </c>
      <c r="M7">
        <v>200</v>
      </c>
      <c r="N7">
        <v>1635</v>
      </c>
    </row>
    <row r="8" spans="1:14">
      <c r="A8" s="89" t="s">
        <v>62</v>
      </c>
      <c r="C8">
        <v>50</v>
      </c>
      <c r="N8">
        <v>50</v>
      </c>
    </row>
    <row r="9" spans="1:14">
      <c r="A9" s="89" t="s">
        <v>21</v>
      </c>
      <c r="B9">
        <v>90</v>
      </c>
      <c r="C9">
        <v>80</v>
      </c>
      <c r="D9">
        <v>40</v>
      </c>
      <c r="E9">
        <v>60</v>
      </c>
      <c r="F9">
        <v>45</v>
      </c>
      <c r="G9">
        <v>115</v>
      </c>
      <c r="H9">
        <v>120</v>
      </c>
      <c r="I9">
        <v>35</v>
      </c>
      <c r="J9">
        <v>34</v>
      </c>
      <c r="K9">
        <v>46</v>
      </c>
      <c r="L9">
        <v>45</v>
      </c>
      <c r="M9">
        <v>40</v>
      </c>
      <c r="N9">
        <v>750</v>
      </c>
    </row>
    <row r="10" spans="1:14">
      <c r="A10" s="89" t="s">
        <v>25</v>
      </c>
      <c r="B10">
        <v>100</v>
      </c>
      <c r="C10">
        <v>100</v>
      </c>
      <c r="D10">
        <v>50</v>
      </c>
      <c r="E10">
        <v>50</v>
      </c>
      <c r="F10">
        <v>50</v>
      </c>
      <c r="G10">
        <v>45</v>
      </c>
      <c r="H10">
        <v>20</v>
      </c>
      <c r="I10">
        <v>30</v>
      </c>
      <c r="J10">
        <v>15</v>
      </c>
      <c r="K10">
        <v>55</v>
      </c>
      <c r="L10">
        <v>35</v>
      </c>
      <c r="N10">
        <v>550</v>
      </c>
    </row>
    <row r="11" spans="1:14">
      <c r="A11" s="89" t="s">
        <v>63</v>
      </c>
      <c r="J11">
        <v>50</v>
      </c>
      <c r="N11">
        <v>50</v>
      </c>
    </row>
    <row r="12" spans="1:14">
      <c r="A12" s="89" t="s">
        <v>64</v>
      </c>
      <c r="F12">
        <v>60</v>
      </c>
      <c r="N12">
        <v>60</v>
      </c>
    </row>
    <row r="13" spans="1:14">
      <c r="A13" s="89" t="s">
        <v>65</v>
      </c>
      <c r="I13">
        <v>100</v>
      </c>
      <c r="N13">
        <v>100</v>
      </c>
    </row>
    <row r="14" spans="1:14">
      <c r="A14" s="89" t="s">
        <v>23</v>
      </c>
      <c r="B14">
        <v>100</v>
      </c>
      <c r="C14">
        <v>85</v>
      </c>
      <c r="D14">
        <v>50</v>
      </c>
      <c r="E14">
        <v>90</v>
      </c>
      <c r="F14">
        <v>30</v>
      </c>
      <c r="G14">
        <v>100</v>
      </c>
      <c r="H14">
        <v>60</v>
      </c>
      <c r="I14">
        <v>30</v>
      </c>
      <c r="J14">
        <v>20</v>
      </c>
      <c r="K14">
        <v>35</v>
      </c>
      <c r="L14">
        <v>20</v>
      </c>
      <c r="N14">
        <v>620</v>
      </c>
    </row>
    <row r="15" spans="1:14">
      <c r="A15" s="89" t="s">
        <v>26</v>
      </c>
      <c r="D15">
        <v>250</v>
      </c>
      <c r="J15">
        <v>100</v>
      </c>
      <c r="N15">
        <v>350</v>
      </c>
    </row>
    <row r="16" spans="1:14">
      <c r="A16" s="89" t="s">
        <v>66</v>
      </c>
      <c r="D16">
        <v>100</v>
      </c>
      <c r="N16">
        <v>100</v>
      </c>
    </row>
    <row r="17" spans="1:14">
      <c r="A17" s="89" t="s">
        <v>29</v>
      </c>
      <c r="B17">
        <v>390</v>
      </c>
      <c r="C17">
        <v>440</v>
      </c>
      <c r="D17">
        <v>640</v>
      </c>
      <c r="E17">
        <v>350</v>
      </c>
      <c r="F17">
        <v>285</v>
      </c>
      <c r="G17">
        <v>410</v>
      </c>
      <c r="H17">
        <v>350</v>
      </c>
      <c r="I17">
        <v>345</v>
      </c>
      <c r="J17">
        <v>399</v>
      </c>
      <c r="K17">
        <v>236</v>
      </c>
      <c r="L17">
        <v>280</v>
      </c>
      <c r="M17">
        <v>240</v>
      </c>
      <c r="N17">
        <v>4365</v>
      </c>
    </row>
    <row r="37" spans="1:11">
      <c r="A37" s="88" t="s">
        <v>58</v>
      </c>
      <c r="B37" t="s">
        <v>68</v>
      </c>
      <c r="C37" t="s">
        <v>69</v>
      </c>
      <c r="I37" s="90" t="s">
        <v>70</v>
      </c>
      <c r="J37" s="91"/>
      <c r="K37" s="91"/>
    </row>
    <row r="38" spans="1:11">
      <c r="A38" s="89" t="s">
        <v>71</v>
      </c>
      <c r="B38" s="100">
        <v>2</v>
      </c>
      <c r="C38" s="100">
        <v>4</v>
      </c>
    </row>
    <row r="39" spans="1:11">
      <c r="A39" s="89" t="s">
        <v>61</v>
      </c>
      <c r="B39" s="100">
        <v>2</v>
      </c>
      <c r="C39" s="100">
        <v>5</v>
      </c>
    </row>
    <row r="40" spans="1:11">
      <c r="A40" s="89" t="s">
        <v>10</v>
      </c>
      <c r="B40" s="100">
        <v>6</v>
      </c>
      <c r="C40" s="100">
        <v>50</v>
      </c>
    </row>
    <row r="41" spans="1:11">
      <c r="A41" s="89" t="s">
        <v>62</v>
      </c>
      <c r="B41" s="100">
        <v>8</v>
      </c>
      <c r="C41" s="100">
        <v>5</v>
      </c>
    </row>
    <row r="42" spans="1:11">
      <c r="A42" s="89" t="s">
        <v>72</v>
      </c>
      <c r="B42" s="100">
        <v>2</v>
      </c>
      <c r="C42" s="100">
        <v>15</v>
      </c>
    </row>
    <row r="43" spans="1:11">
      <c r="A43" s="89" t="s">
        <v>73</v>
      </c>
      <c r="B43" s="100">
        <v>1.5</v>
      </c>
      <c r="C43" s="100">
        <v>2</v>
      </c>
    </row>
    <row r="44" spans="1:11">
      <c r="A44" s="89" t="s">
        <v>21</v>
      </c>
      <c r="B44" s="100">
        <v>8.5</v>
      </c>
      <c r="C44" s="100">
        <v>10</v>
      </c>
    </row>
    <row r="45" spans="1:11">
      <c r="A45" s="89" t="s">
        <v>25</v>
      </c>
      <c r="B45" s="100">
        <v>6.5</v>
      </c>
      <c r="C45" s="100">
        <v>50</v>
      </c>
    </row>
    <row r="46" spans="1:11">
      <c r="A46" s="89" t="s">
        <v>74</v>
      </c>
      <c r="B46" s="100">
        <v>4</v>
      </c>
      <c r="C46" s="100">
        <v>50</v>
      </c>
    </row>
    <row r="47" spans="1:11">
      <c r="A47" s="89" t="s">
        <v>75</v>
      </c>
      <c r="B47" s="100">
        <v>5</v>
      </c>
      <c r="C47" s="100">
        <v>10</v>
      </c>
    </row>
    <row r="48" spans="1:11">
      <c r="A48" s="89" t="s">
        <v>76</v>
      </c>
      <c r="B48" s="100">
        <v>4.5</v>
      </c>
      <c r="C48" s="100">
        <v>50</v>
      </c>
    </row>
    <row r="49" spans="1:3">
      <c r="A49" s="89" t="s">
        <v>63</v>
      </c>
      <c r="B49" s="100">
        <v>15</v>
      </c>
      <c r="C49" s="100">
        <v>2</v>
      </c>
    </row>
    <row r="50" spans="1:3">
      <c r="A50" s="89" t="s">
        <v>64</v>
      </c>
      <c r="B50" s="100">
        <v>15</v>
      </c>
      <c r="C50" s="100">
        <v>2</v>
      </c>
    </row>
    <row r="51" spans="1:3">
      <c r="A51" s="89" t="s">
        <v>77</v>
      </c>
      <c r="B51" s="100">
        <v>5</v>
      </c>
      <c r="C51" s="100">
        <v>12</v>
      </c>
    </row>
    <row r="52" spans="1:3">
      <c r="A52" s="89" t="s">
        <v>78</v>
      </c>
      <c r="B52" s="100">
        <v>1</v>
      </c>
      <c r="C52" s="100">
        <v>15</v>
      </c>
    </row>
    <row r="53" spans="1:3">
      <c r="A53" s="89" t="s">
        <v>65</v>
      </c>
      <c r="B53" s="100">
        <v>5</v>
      </c>
      <c r="C53" s="100">
        <v>10</v>
      </c>
    </row>
    <row r="54" spans="1:3">
      <c r="A54" s="89" t="s">
        <v>79</v>
      </c>
      <c r="B54" s="100">
        <v>3</v>
      </c>
      <c r="C54" s="100">
        <v>2</v>
      </c>
    </row>
    <row r="55" spans="1:3">
      <c r="A55" s="89" t="s">
        <v>80</v>
      </c>
      <c r="B55" s="100">
        <v>3</v>
      </c>
      <c r="C55" s="100">
        <v>5</v>
      </c>
    </row>
    <row r="56" spans="1:3">
      <c r="A56" s="89" t="s">
        <v>23</v>
      </c>
      <c r="B56" s="100">
        <v>7.5</v>
      </c>
      <c r="C56" s="100">
        <v>10</v>
      </c>
    </row>
    <row r="57" spans="1:3">
      <c r="A57" s="89" t="s">
        <v>81</v>
      </c>
      <c r="B57" s="100">
        <v>4.5</v>
      </c>
      <c r="C57" s="100">
        <v>2</v>
      </c>
    </row>
    <row r="58" spans="1:3">
      <c r="A58" s="89" t="s">
        <v>82</v>
      </c>
      <c r="B58" s="100">
        <v>3.5</v>
      </c>
      <c r="C58" s="100">
        <v>2</v>
      </c>
    </row>
    <row r="59" spans="1:3">
      <c r="A59" s="89" t="s">
        <v>83</v>
      </c>
      <c r="B59" s="100">
        <v>3</v>
      </c>
      <c r="C59" s="100">
        <v>2</v>
      </c>
    </row>
    <row r="60" spans="1:3">
      <c r="A60" s="89" t="s">
        <v>84</v>
      </c>
      <c r="B60" s="100">
        <v>4</v>
      </c>
      <c r="C60" s="100">
        <v>50</v>
      </c>
    </row>
    <row r="61" spans="1:3">
      <c r="A61" s="89" t="s">
        <v>26</v>
      </c>
      <c r="B61" s="100">
        <v>8</v>
      </c>
      <c r="C61" s="100">
        <v>10</v>
      </c>
    </row>
    <row r="62" spans="1:3">
      <c r="A62" s="89" t="s">
        <v>85</v>
      </c>
      <c r="B62" s="100">
        <v>1</v>
      </c>
      <c r="C62" s="100">
        <v>15</v>
      </c>
    </row>
    <row r="63" spans="1:3">
      <c r="A63" s="89" t="s">
        <v>86</v>
      </c>
      <c r="B63" s="100">
        <v>4</v>
      </c>
      <c r="C63" s="100">
        <v>50</v>
      </c>
    </row>
    <row r="64" spans="1:3">
      <c r="A64" s="89" t="s">
        <v>66</v>
      </c>
      <c r="B64" s="100">
        <v>10</v>
      </c>
      <c r="C64" s="100">
        <v>5</v>
      </c>
    </row>
    <row r="65" spans="1:3">
      <c r="A65" s="89" t="s">
        <v>29</v>
      </c>
      <c r="B65" s="100">
        <v>142.5</v>
      </c>
      <c r="C65" s="100">
        <v>445</v>
      </c>
    </row>
    <row r="71" spans="1:3">
      <c r="A71" s="96" t="s">
        <v>87</v>
      </c>
      <c r="B71" s="96"/>
    </row>
    <row r="72" spans="1:3">
      <c r="A72" s="88" t="s">
        <v>58</v>
      </c>
      <c r="B72" t="s">
        <v>12</v>
      </c>
      <c r="C72" t="s">
        <v>88</v>
      </c>
    </row>
    <row r="73" spans="1:3">
      <c r="A73" s="89" t="s">
        <v>89</v>
      </c>
      <c r="B73" s="100"/>
      <c r="C73" s="100"/>
    </row>
    <row r="74" spans="1:3">
      <c r="A74" s="97" t="s">
        <v>61</v>
      </c>
      <c r="B74" s="100">
        <v>100</v>
      </c>
      <c r="C74" s="100">
        <v>25</v>
      </c>
    </row>
    <row r="75" spans="1:3">
      <c r="A75" s="97" t="s">
        <v>62</v>
      </c>
      <c r="B75" s="100">
        <v>50</v>
      </c>
      <c r="C75" s="100">
        <v>37.5</v>
      </c>
    </row>
    <row r="76" spans="1:3">
      <c r="A76" s="97" t="s">
        <v>26</v>
      </c>
      <c r="B76" s="100">
        <v>350</v>
      </c>
      <c r="C76" s="100">
        <v>700</v>
      </c>
    </row>
    <row r="77" spans="1:3">
      <c r="A77" s="89" t="s">
        <v>90</v>
      </c>
      <c r="B77" s="100"/>
      <c r="C77" s="100"/>
    </row>
    <row r="78" spans="1:3">
      <c r="A78" s="97" t="s">
        <v>63</v>
      </c>
      <c r="B78" s="100">
        <v>50</v>
      </c>
      <c r="C78" s="100">
        <v>225</v>
      </c>
    </row>
    <row r="79" spans="1:3">
      <c r="A79" s="97" t="s">
        <v>64</v>
      </c>
      <c r="B79" s="100">
        <v>60</v>
      </c>
      <c r="C79" s="100">
        <v>480</v>
      </c>
    </row>
    <row r="80" spans="1:3">
      <c r="A80" s="89" t="s">
        <v>91</v>
      </c>
      <c r="B80" s="100"/>
      <c r="C80" s="100"/>
    </row>
    <row r="81" spans="1:3">
      <c r="A81" s="97" t="s">
        <v>10</v>
      </c>
      <c r="B81" s="100">
        <v>1635</v>
      </c>
      <c r="C81" s="100">
        <v>3270</v>
      </c>
    </row>
    <row r="82" spans="1:3">
      <c r="A82" s="97" t="s">
        <v>21</v>
      </c>
      <c r="B82" s="100">
        <v>750</v>
      </c>
      <c r="C82" s="100">
        <v>187.5</v>
      </c>
    </row>
    <row r="83" spans="1:3">
      <c r="A83" s="97" t="s">
        <v>65</v>
      </c>
      <c r="B83" s="100">
        <v>100</v>
      </c>
      <c r="C83" s="100">
        <v>100</v>
      </c>
    </row>
    <row r="84" spans="1:3">
      <c r="A84" s="97" t="s">
        <v>66</v>
      </c>
      <c r="B84" s="100">
        <v>100</v>
      </c>
      <c r="C84" s="100">
        <v>75</v>
      </c>
    </row>
    <row r="85" spans="1:3">
      <c r="A85" s="89" t="s">
        <v>92</v>
      </c>
      <c r="B85" s="100"/>
      <c r="C85" s="100"/>
    </row>
    <row r="86" spans="1:3">
      <c r="A86" s="97" t="s">
        <v>25</v>
      </c>
      <c r="B86" s="100">
        <v>550</v>
      </c>
      <c r="C86" s="100">
        <v>275</v>
      </c>
    </row>
    <row r="87" spans="1:3">
      <c r="A87" s="97" t="s">
        <v>23</v>
      </c>
      <c r="B87" s="100">
        <v>620</v>
      </c>
      <c r="C87" s="100">
        <v>155</v>
      </c>
    </row>
    <row r="88" spans="1:3">
      <c r="A88" s="89" t="s">
        <v>29</v>
      </c>
      <c r="B88" s="100">
        <v>4365</v>
      </c>
      <c r="C88" s="100">
        <v>5530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J31"/>
  <sheetViews>
    <sheetView showGridLines="0" zoomScaleNormal="100" workbookViewId="0">
      <selection activeCell="F14" sqref="F14"/>
    </sheetView>
  </sheetViews>
  <sheetFormatPr defaultColWidth="9.28515625" defaultRowHeight="14.45"/>
  <cols>
    <col min="1" max="1" width="5.28515625" customWidth="1"/>
    <col min="2" max="2" width="18.5703125" bestFit="1" customWidth="1"/>
    <col min="3" max="3" width="16.28515625" bestFit="1" customWidth="1"/>
    <col min="4" max="4" width="22.5703125" bestFit="1" customWidth="1"/>
    <col min="5" max="5" width="19.7109375" bestFit="1" customWidth="1"/>
    <col min="6" max="6" width="18.42578125" customWidth="1"/>
    <col min="7" max="7" width="20.42578125" style="1" customWidth="1"/>
    <col min="9" max="9" width="13.5703125" customWidth="1"/>
    <col min="10" max="10" width="15.28515625" customWidth="1"/>
  </cols>
  <sheetData>
    <row r="1" spans="2:10" s="24" customFormat="1" ht="60" customHeight="1">
      <c r="F1" s="32" t="s">
        <v>93</v>
      </c>
      <c r="G1" s="33"/>
    </row>
    <row r="2" spans="2:10" s="27" customFormat="1" ht="6" customHeight="1">
      <c r="G2" s="28"/>
    </row>
    <row r="3" spans="2:10" ht="15" thickBot="1"/>
    <row r="4" spans="2:10" ht="15" thickBot="1">
      <c r="B4" s="92" t="s">
        <v>94</v>
      </c>
      <c r="C4" s="39" t="s">
        <v>40</v>
      </c>
      <c r="D4" s="39" t="s">
        <v>95</v>
      </c>
      <c r="E4" s="39" t="s">
        <v>96</v>
      </c>
      <c r="F4" s="39" t="s">
        <v>97</v>
      </c>
      <c r="G4" s="39" t="s">
        <v>98</v>
      </c>
    </row>
    <row r="5" spans="2:10" ht="16.149999999999999">
      <c r="B5" s="93">
        <v>1</v>
      </c>
      <c r="C5" s="29" t="s">
        <v>10</v>
      </c>
      <c r="D5" s="30" t="s">
        <v>99</v>
      </c>
      <c r="E5" s="30">
        <v>50</v>
      </c>
      <c r="F5" s="31">
        <v>2</v>
      </c>
      <c r="G5" s="31">
        <v>6</v>
      </c>
      <c r="H5" s="3"/>
      <c r="I5" s="3"/>
    </row>
    <row r="6" spans="2:10" ht="16.149999999999999">
      <c r="B6" s="30">
        <v>2</v>
      </c>
      <c r="C6" s="29" t="s">
        <v>80</v>
      </c>
      <c r="D6" s="30" t="s">
        <v>100</v>
      </c>
      <c r="E6" s="30">
        <v>5</v>
      </c>
      <c r="F6" s="31">
        <v>1.5</v>
      </c>
      <c r="G6" s="31">
        <v>3</v>
      </c>
      <c r="I6" s="3"/>
    </row>
    <row r="7" spans="2:10" ht="16.149999999999999">
      <c r="B7" s="93">
        <v>3</v>
      </c>
      <c r="C7" s="29" t="s">
        <v>25</v>
      </c>
      <c r="D7" s="30" t="s">
        <v>100</v>
      </c>
      <c r="E7" s="30">
        <v>50</v>
      </c>
      <c r="F7" s="31">
        <v>0.5</v>
      </c>
      <c r="G7" s="31">
        <v>6.5</v>
      </c>
      <c r="I7" s="3"/>
    </row>
    <row r="8" spans="2:10" ht="16.149999999999999">
      <c r="B8" s="30">
        <v>4</v>
      </c>
      <c r="C8" s="29" t="s">
        <v>76</v>
      </c>
      <c r="D8" s="30" t="s">
        <v>100</v>
      </c>
      <c r="E8" s="30">
        <v>50</v>
      </c>
      <c r="F8" s="31">
        <v>1</v>
      </c>
      <c r="G8" s="31">
        <v>4.5</v>
      </c>
      <c r="I8" s="3"/>
    </row>
    <row r="9" spans="2:10" ht="16.149999999999999">
      <c r="B9" s="93">
        <v>5</v>
      </c>
      <c r="C9" s="29" t="s">
        <v>86</v>
      </c>
      <c r="D9" s="30" t="s">
        <v>100</v>
      </c>
      <c r="E9" s="30">
        <v>50</v>
      </c>
      <c r="F9" s="31">
        <v>1</v>
      </c>
      <c r="G9" s="31">
        <v>4</v>
      </c>
      <c r="I9" s="3"/>
      <c r="J9" s="10"/>
    </row>
    <row r="10" spans="2:10" ht="16.149999999999999">
      <c r="B10" s="30">
        <v>6</v>
      </c>
      <c r="C10" s="29" t="s">
        <v>74</v>
      </c>
      <c r="D10" s="30" t="s">
        <v>100</v>
      </c>
      <c r="E10" s="30">
        <v>50</v>
      </c>
      <c r="F10" s="31">
        <v>1</v>
      </c>
      <c r="G10" s="31">
        <v>4</v>
      </c>
    </row>
    <row r="11" spans="2:10" ht="16.149999999999999">
      <c r="B11" s="93">
        <v>7</v>
      </c>
      <c r="C11" s="29" t="s">
        <v>84</v>
      </c>
      <c r="D11" s="30" t="s">
        <v>100</v>
      </c>
      <c r="E11" s="30">
        <v>50</v>
      </c>
      <c r="F11" s="31">
        <v>0.5</v>
      </c>
      <c r="G11" s="31">
        <v>4</v>
      </c>
    </row>
    <row r="12" spans="2:10" ht="16.149999999999999">
      <c r="B12" s="30">
        <v>8</v>
      </c>
      <c r="C12" s="29" t="s">
        <v>72</v>
      </c>
      <c r="D12" s="30" t="s">
        <v>101</v>
      </c>
      <c r="E12" s="30">
        <v>15</v>
      </c>
      <c r="F12" s="31">
        <v>0.5</v>
      </c>
      <c r="G12" s="31">
        <v>2</v>
      </c>
    </row>
    <row r="13" spans="2:10" ht="16.149999999999999">
      <c r="B13" s="93">
        <v>9</v>
      </c>
      <c r="C13" s="29" t="s">
        <v>78</v>
      </c>
      <c r="D13" s="30" t="s">
        <v>101</v>
      </c>
      <c r="E13" s="30">
        <v>15</v>
      </c>
      <c r="F13" s="31">
        <v>0.25</v>
      </c>
      <c r="G13" s="31">
        <v>1</v>
      </c>
    </row>
    <row r="14" spans="2:10" ht="16.149999999999999">
      <c r="B14" s="30">
        <v>10</v>
      </c>
      <c r="C14" s="29" t="s">
        <v>85</v>
      </c>
      <c r="D14" s="30" t="s">
        <v>101</v>
      </c>
      <c r="E14" s="30">
        <v>15</v>
      </c>
      <c r="F14" s="31">
        <v>0.25</v>
      </c>
      <c r="G14" s="31">
        <v>1</v>
      </c>
    </row>
    <row r="15" spans="2:10" ht="16.149999999999999">
      <c r="B15" s="93">
        <v>11</v>
      </c>
      <c r="C15" s="29" t="s">
        <v>21</v>
      </c>
      <c r="D15" s="30" t="s">
        <v>102</v>
      </c>
      <c r="E15" s="30">
        <v>10</v>
      </c>
      <c r="F15" s="31">
        <v>0.25</v>
      </c>
      <c r="G15" s="31">
        <v>8.5</v>
      </c>
    </row>
    <row r="16" spans="2:10" ht="16.149999999999999">
      <c r="B16" s="30">
        <v>12</v>
      </c>
      <c r="C16" s="29" t="s">
        <v>103</v>
      </c>
      <c r="D16" s="30" t="s">
        <v>102</v>
      </c>
      <c r="E16" s="30">
        <v>12</v>
      </c>
      <c r="F16" s="31">
        <v>10</v>
      </c>
      <c r="G16" s="31">
        <v>5</v>
      </c>
    </row>
    <row r="17" spans="2:7" ht="16.149999999999999">
      <c r="B17" s="93">
        <v>13</v>
      </c>
      <c r="C17" s="29" t="s">
        <v>71</v>
      </c>
      <c r="D17" s="30" t="s">
        <v>100</v>
      </c>
      <c r="E17" s="30">
        <v>4</v>
      </c>
      <c r="F17" s="31">
        <v>2</v>
      </c>
      <c r="G17" s="31">
        <v>2</v>
      </c>
    </row>
    <row r="18" spans="2:7" ht="16.149999999999999">
      <c r="B18" s="30">
        <v>14</v>
      </c>
      <c r="C18" s="29" t="s">
        <v>65</v>
      </c>
      <c r="D18" s="30" t="s">
        <v>101</v>
      </c>
      <c r="E18" s="30">
        <v>10</v>
      </c>
      <c r="F18" s="31">
        <v>1</v>
      </c>
      <c r="G18" s="31">
        <v>5</v>
      </c>
    </row>
    <row r="19" spans="2:7" ht="16.149999999999999">
      <c r="B19" s="93">
        <v>15</v>
      </c>
      <c r="C19" s="29" t="s">
        <v>73</v>
      </c>
      <c r="D19" s="30" t="s">
        <v>101</v>
      </c>
      <c r="E19" s="30">
        <v>2</v>
      </c>
      <c r="F19" s="31">
        <v>0.75</v>
      </c>
      <c r="G19" s="31">
        <v>1.5</v>
      </c>
    </row>
    <row r="20" spans="2:7" ht="16.149999999999999">
      <c r="B20" s="30">
        <v>16</v>
      </c>
      <c r="C20" s="29" t="s">
        <v>23</v>
      </c>
      <c r="D20" s="30" t="s">
        <v>100</v>
      </c>
      <c r="E20" s="30">
        <v>10</v>
      </c>
      <c r="F20" s="31">
        <v>0.25</v>
      </c>
      <c r="G20" s="31">
        <v>7.5</v>
      </c>
    </row>
    <row r="21" spans="2:7" ht="16.149999999999999">
      <c r="B21" s="93">
        <v>17</v>
      </c>
      <c r="C21" s="29" t="s">
        <v>66</v>
      </c>
      <c r="D21" s="30" t="s">
        <v>101</v>
      </c>
      <c r="E21" s="30">
        <v>5</v>
      </c>
      <c r="F21" s="31">
        <v>0.75</v>
      </c>
      <c r="G21" s="31">
        <v>10</v>
      </c>
    </row>
    <row r="22" spans="2:7" ht="16.149999999999999">
      <c r="B22" s="30">
        <v>18</v>
      </c>
      <c r="C22" s="29" t="s">
        <v>64</v>
      </c>
      <c r="D22" s="30" t="s">
        <v>100</v>
      </c>
      <c r="E22" s="30">
        <v>2</v>
      </c>
      <c r="F22" s="31">
        <v>8</v>
      </c>
      <c r="G22" s="31">
        <v>15</v>
      </c>
    </row>
    <row r="23" spans="2:7" ht="16.149999999999999">
      <c r="B23" s="93">
        <v>19</v>
      </c>
      <c r="C23" s="29" t="s">
        <v>63</v>
      </c>
      <c r="D23" s="30" t="s">
        <v>100</v>
      </c>
      <c r="E23" s="30">
        <v>2</v>
      </c>
      <c r="F23" s="31">
        <v>4.5</v>
      </c>
      <c r="G23" s="31">
        <v>15</v>
      </c>
    </row>
    <row r="24" spans="2:7" ht="16.149999999999999">
      <c r="B24" s="30">
        <v>20</v>
      </c>
      <c r="C24" s="29" t="s">
        <v>104</v>
      </c>
      <c r="D24" s="30" t="s">
        <v>105</v>
      </c>
      <c r="E24" s="30">
        <v>5</v>
      </c>
      <c r="F24" s="31">
        <v>0.25</v>
      </c>
      <c r="G24" s="31">
        <v>2</v>
      </c>
    </row>
    <row r="25" spans="2:7" ht="16.149999999999999">
      <c r="B25" s="93">
        <v>21</v>
      </c>
      <c r="C25" s="29" t="s">
        <v>62</v>
      </c>
      <c r="D25" s="30" t="s">
        <v>105</v>
      </c>
      <c r="E25" s="30">
        <v>5</v>
      </c>
      <c r="F25" s="31">
        <v>0.75</v>
      </c>
      <c r="G25" s="31">
        <v>8</v>
      </c>
    </row>
    <row r="26" spans="2:7" ht="16.149999999999999">
      <c r="B26" s="30">
        <v>22</v>
      </c>
      <c r="C26" s="29" t="s">
        <v>83</v>
      </c>
      <c r="D26" s="30" t="s">
        <v>100</v>
      </c>
      <c r="E26" s="30">
        <v>2</v>
      </c>
      <c r="F26" s="31">
        <v>1</v>
      </c>
      <c r="G26" s="31">
        <v>3</v>
      </c>
    </row>
    <row r="27" spans="2:7" ht="16.149999999999999">
      <c r="B27" s="93">
        <v>23</v>
      </c>
      <c r="C27" s="29" t="s">
        <v>82</v>
      </c>
      <c r="D27" s="30" t="s">
        <v>100</v>
      </c>
      <c r="E27" s="30">
        <v>2</v>
      </c>
      <c r="F27" s="31">
        <v>2.5</v>
      </c>
      <c r="G27" s="31">
        <v>3.5</v>
      </c>
    </row>
    <row r="28" spans="2:7" ht="16.149999999999999">
      <c r="B28" s="30">
        <v>24</v>
      </c>
      <c r="C28" s="29" t="s">
        <v>79</v>
      </c>
      <c r="D28" s="30" t="s">
        <v>100</v>
      </c>
      <c r="E28" s="30">
        <v>2</v>
      </c>
      <c r="F28" s="31">
        <v>1.5</v>
      </c>
      <c r="G28" s="31">
        <v>3</v>
      </c>
    </row>
    <row r="29" spans="2:7" ht="16.149999999999999">
      <c r="B29" s="93">
        <v>25</v>
      </c>
      <c r="C29" s="29" t="s">
        <v>81</v>
      </c>
      <c r="D29" s="30" t="s">
        <v>100</v>
      </c>
      <c r="E29" s="30">
        <v>2</v>
      </c>
      <c r="F29" s="31">
        <v>3</v>
      </c>
      <c r="G29" s="31">
        <v>4.5</v>
      </c>
    </row>
    <row r="30" spans="2:7" ht="16.149999999999999">
      <c r="B30" s="30">
        <v>26</v>
      </c>
      <c r="C30" s="29" t="s">
        <v>26</v>
      </c>
      <c r="D30" s="30" t="s">
        <v>101</v>
      </c>
      <c r="E30" s="30">
        <v>10</v>
      </c>
      <c r="F30" s="31">
        <v>2</v>
      </c>
      <c r="G30" s="31">
        <v>8</v>
      </c>
    </row>
    <row r="31" spans="2:7" ht="16.899999999999999" thickBot="1">
      <c r="B31" s="95">
        <v>27</v>
      </c>
      <c r="C31" s="29" t="s">
        <v>75</v>
      </c>
      <c r="D31" s="30" t="s">
        <v>100</v>
      </c>
      <c r="E31" s="30">
        <v>10</v>
      </c>
      <c r="F31" s="31">
        <v>0.25</v>
      </c>
      <c r="G31" s="31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C5:C31" xr:uid="{6FD65472-361F-4C37-92CC-80C66E375847}">
      <formula1>COUNTIF(Lista_Produtos,C5)&lt;=1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I9"/>
  <sheetViews>
    <sheetView showGridLines="0" zoomScaleNormal="100" workbookViewId="0">
      <selection activeCell="C8" sqref="C8"/>
    </sheetView>
  </sheetViews>
  <sheetFormatPr defaultColWidth="9.28515625" defaultRowHeight="14.45"/>
  <cols>
    <col min="1" max="1" width="5.28515625" customWidth="1"/>
    <col min="2" max="2" width="11.28515625" bestFit="1" customWidth="1"/>
    <col min="3" max="3" width="17.7109375" customWidth="1"/>
    <col min="4" max="4" width="16.7109375" bestFit="1" customWidth="1"/>
    <col min="5" max="5" width="14.28515625" bestFit="1" customWidth="1"/>
    <col min="6" max="6" width="31.7109375" customWidth="1"/>
  </cols>
  <sheetData>
    <row r="1" spans="2:9" s="24" customFormat="1" ht="60" customHeight="1">
      <c r="F1" s="32" t="s">
        <v>106</v>
      </c>
      <c r="G1" s="25"/>
    </row>
    <row r="2" spans="2:9" s="27" customFormat="1" ht="6" customHeight="1">
      <c r="G2" s="28"/>
    </row>
    <row r="4" spans="2:9" ht="15" thickBot="1"/>
    <row r="5" spans="2:9" ht="15" thickBot="1">
      <c r="B5" s="92" t="s">
        <v>107</v>
      </c>
      <c r="C5" s="39" t="s">
        <v>108</v>
      </c>
      <c r="D5" s="39" t="s">
        <v>109</v>
      </c>
      <c r="E5" s="39" t="s">
        <v>110</v>
      </c>
      <c r="F5" s="39" t="s">
        <v>111</v>
      </c>
    </row>
    <row r="6" spans="2:9" ht="16.149999999999999">
      <c r="B6" s="93">
        <v>1</v>
      </c>
      <c r="C6" s="29" t="s">
        <v>91</v>
      </c>
      <c r="D6" s="30" t="s">
        <v>112</v>
      </c>
      <c r="E6" s="30" t="s">
        <v>113</v>
      </c>
      <c r="F6" s="31" t="s">
        <v>114</v>
      </c>
    </row>
    <row r="7" spans="2:9" ht="16.149999999999999">
      <c r="B7" s="30">
        <v>2</v>
      </c>
      <c r="C7" s="29" t="s">
        <v>90</v>
      </c>
      <c r="D7" s="30" t="s">
        <v>115</v>
      </c>
      <c r="E7" s="30" t="s">
        <v>116</v>
      </c>
      <c r="F7" s="31" t="s">
        <v>117</v>
      </c>
    </row>
    <row r="8" spans="2:9" ht="16.149999999999999">
      <c r="B8" s="93">
        <v>3</v>
      </c>
      <c r="C8" s="29" t="s">
        <v>89</v>
      </c>
      <c r="D8" s="30" t="s">
        <v>118</v>
      </c>
      <c r="E8" s="30" t="s">
        <v>119</v>
      </c>
      <c r="F8" s="31" t="s">
        <v>120</v>
      </c>
      <c r="I8" t="s">
        <v>121</v>
      </c>
    </row>
    <row r="9" spans="2:9" ht="16.899999999999999" thickBot="1">
      <c r="B9" s="94">
        <v>4</v>
      </c>
      <c r="C9" s="29" t="s">
        <v>92</v>
      </c>
      <c r="D9" s="30" t="s">
        <v>122</v>
      </c>
      <c r="E9" s="30" t="s">
        <v>123</v>
      </c>
      <c r="F9" s="31" t="s">
        <v>124</v>
      </c>
    </row>
  </sheetData>
  <dataValidations count="1">
    <dataValidation type="custom" allowBlank="1" showInputMessage="1" showErrorMessage="1" errorTitle="Fornecedor Duplicado" error="Não é permitido cadastrar dois fornecedores com mesmo nome!" sqref="C6:C9" xr:uid="{CB0A8FAC-1E94-4C7B-B66C-BC840809AA8D}">
      <formula1>COUNTIF(Lista_Fornecedores,C6)&lt;=1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J59"/>
  <sheetViews>
    <sheetView showGridLines="0" zoomScaleNormal="100" workbookViewId="0">
      <selection activeCell="I18" sqref="I18"/>
    </sheetView>
  </sheetViews>
  <sheetFormatPr defaultColWidth="9.28515625" defaultRowHeight="14.45"/>
  <cols>
    <col min="1" max="1" width="5.28515625" customWidth="1"/>
    <col min="3" max="3" width="15.7109375" customWidth="1"/>
    <col min="4" max="4" width="17.28515625" style="2" customWidth="1"/>
    <col min="5" max="5" width="18" style="2" customWidth="1"/>
    <col min="6" max="6" width="22.7109375" customWidth="1"/>
    <col min="7" max="7" width="18.42578125" customWidth="1"/>
    <col min="8" max="8" width="10.7109375" bestFit="1" customWidth="1"/>
  </cols>
  <sheetData>
    <row r="1" spans="2:10" s="24" customFormat="1" ht="60" customHeight="1">
      <c r="F1" s="32" t="s">
        <v>125</v>
      </c>
    </row>
    <row r="2" spans="2:10" s="27" customFormat="1" ht="6" customHeight="1"/>
    <row r="4" spans="2:10">
      <c r="D4"/>
      <c r="E4" s="104"/>
    </row>
    <row r="5" spans="2:10" s="4" customFormat="1">
      <c r="B5" s="73" t="s">
        <v>44</v>
      </c>
      <c r="C5" s="73" t="s">
        <v>126</v>
      </c>
      <c r="D5" s="73" t="s">
        <v>94</v>
      </c>
      <c r="E5" s="40" t="s">
        <v>127</v>
      </c>
      <c r="F5" s="40" t="s">
        <v>128</v>
      </c>
      <c r="H5" s="99" t="s">
        <v>46</v>
      </c>
      <c r="I5"/>
      <c r="J5"/>
    </row>
    <row r="6" spans="2:10" ht="16.149999999999999">
      <c r="B6" s="41">
        <f>MONTH(TB_Entradas[[#This Row],[Data]])</f>
        <v>1</v>
      </c>
      <c r="C6" s="37">
        <v>44566</v>
      </c>
      <c r="D6" s="104">
        <v>1</v>
      </c>
      <c r="E6" s="30">
        <v>1</v>
      </c>
      <c r="F6" s="36">
        <v>100</v>
      </c>
      <c r="H6" s="106">
        <v>5530</v>
      </c>
    </row>
    <row r="7" spans="2:10" ht="16.149999999999999">
      <c r="B7" s="41">
        <f>MONTH(TB_Entradas[[#This Row],[Data]])</f>
        <v>1</v>
      </c>
      <c r="C7" s="37">
        <v>44566</v>
      </c>
      <c r="D7" s="104">
        <v>3</v>
      </c>
      <c r="E7" s="30">
        <v>4</v>
      </c>
      <c r="F7" s="36">
        <v>100</v>
      </c>
    </row>
    <row r="8" spans="2:10" ht="16.149999999999999">
      <c r="B8" s="41">
        <f>MONTH(TB_Entradas[[#This Row],[Data]])</f>
        <v>1</v>
      </c>
      <c r="C8" s="37">
        <v>44576</v>
      </c>
      <c r="D8" s="104">
        <v>11</v>
      </c>
      <c r="E8" s="30">
        <v>1</v>
      </c>
      <c r="F8" s="36">
        <v>90</v>
      </c>
    </row>
    <row r="9" spans="2:10" ht="16.149999999999999">
      <c r="B9" s="41">
        <f>MONTH(TB_Entradas[[#This Row],[Data]])</f>
        <v>1</v>
      </c>
      <c r="C9" s="37">
        <v>44578</v>
      </c>
      <c r="D9" s="104">
        <v>16</v>
      </c>
      <c r="E9" s="30">
        <v>4</v>
      </c>
      <c r="F9" s="36">
        <v>100</v>
      </c>
    </row>
    <row r="10" spans="2:10" ht="16.149999999999999">
      <c r="B10" s="41">
        <f>MONTH(TB_Entradas[[#This Row],[Data]])</f>
        <v>2</v>
      </c>
      <c r="C10" s="37">
        <v>44593</v>
      </c>
      <c r="D10" s="104">
        <v>16</v>
      </c>
      <c r="E10" s="30">
        <v>4</v>
      </c>
      <c r="F10" s="36">
        <v>85</v>
      </c>
    </row>
    <row r="11" spans="2:10" ht="16.149999999999999">
      <c r="B11" s="41">
        <f>MONTH(TB_Entradas[[#This Row],[Data]])</f>
        <v>2</v>
      </c>
      <c r="C11" s="37">
        <v>44594</v>
      </c>
      <c r="D11" s="104">
        <v>11</v>
      </c>
      <c r="E11" s="30">
        <v>1</v>
      </c>
      <c r="F11" s="36">
        <v>80</v>
      </c>
    </row>
    <row r="12" spans="2:10" ht="16.149999999999999">
      <c r="B12" s="41">
        <f>MONTH(TB_Entradas[[#This Row],[Data]])</f>
        <v>2</v>
      </c>
      <c r="C12" s="37">
        <v>44598</v>
      </c>
      <c r="D12" s="104">
        <v>1</v>
      </c>
      <c r="E12" s="30">
        <v>1</v>
      </c>
      <c r="F12" s="36">
        <v>125</v>
      </c>
    </row>
    <row r="13" spans="2:10" ht="16.149999999999999">
      <c r="B13" s="41">
        <f>MONTH(TB_Entradas[[#This Row],[Data]])</f>
        <v>2</v>
      </c>
      <c r="C13" s="37">
        <v>44602</v>
      </c>
      <c r="D13" s="104">
        <v>21</v>
      </c>
      <c r="E13" s="30">
        <v>3</v>
      </c>
      <c r="F13" s="36">
        <v>50</v>
      </c>
    </row>
    <row r="14" spans="2:10" ht="16.149999999999999">
      <c r="B14" s="41">
        <f>MONTH(TB_Entradas[[#This Row],[Data]])</f>
        <v>2</v>
      </c>
      <c r="C14" s="37">
        <v>44612</v>
      </c>
      <c r="D14" s="104">
        <v>3</v>
      </c>
      <c r="E14" s="30">
        <v>4</v>
      </c>
      <c r="F14" s="36">
        <v>100</v>
      </c>
    </row>
    <row r="15" spans="2:10" ht="16.149999999999999">
      <c r="B15" s="41">
        <f>MONTH(TB_Entradas[[#This Row],[Data]])</f>
        <v>3</v>
      </c>
      <c r="C15" s="37">
        <v>44625</v>
      </c>
      <c r="D15" s="104">
        <v>26</v>
      </c>
      <c r="E15" s="30">
        <v>3</v>
      </c>
      <c r="F15" s="36">
        <v>250</v>
      </c>
    </row>
    <row r="16" spans="2:10" ht="16.149999999999999">
      <c r="B16" s="41">
        <f>MONTH(TB_Entradas[[#This Row],[Data]])</f>
        <v>3</v>
      </c>
      <c r="C16" s="37">
        <v>44630</v>
      </c>
      <c r="D16" s="104">
        <v>16</v>
      </c>
      <c r="E16" s="30">
        <v>4</v>
      </c>
      <c r="F16" s="36">
        <v>50</v>
      </c>
    </row>
    <row r="17" spans="2:6" ht="16.149999999999999">
      <c r="B17" s="41">
        <f>MONTH(TB_Entradas[[#This Row],[Data]])</f>
        <v>3</v>
      </c>
      <c r="C17" s="37">
        <v>44635</v>
      </c>
      <c r="D17" s="104">
        <v>1</v>
      </c>
      <c r="E17" s="30">
        <v>1</v>
      </c>
      <c r="F17" s="36">
        <v>150</v>
      </c>
    </row>
    <row r="18" spans="2:6" ht="16.149999999999999">
      <c r="B18" s="41">
        <f>MONTH(TB_Entradas[[#This Row],[Data]])</f>
        <v>3</v>
      </c>
      <c r="C18" s="37">
        <v>44637</v>
      </c>
      <c r="D18" s="104">
        <v>17</v>
      </c>
      <c r="E18" s="30">
        <v>1</v>
      </c>
      <c r="F18" s="36">
        <v>100</v>
      </c>
    </row>
    <row r="19" spans="2:6" ht="16.149999999999999">
      <c r="B19" s="41">
        <f>MONTH(TB_Entradas[[#This Row],[Data]])</f>
        <v>3</v>
      </c>
      <c r="C19" s="37">
        <v>44644</v>
      </c>
      <c r="D19" s="104">
        <v>11</v>
      </c>
      <c r="E19" s="30">
        <v>1</v>
      </c>
      <c r="F19" s="36">
        <v>40</v>
      </c>
    </row>
    <row r="20" spans="2:6" ht="16.149999999999999">
      <c r="B20" s="41">
        <f>MONTH(TB_Entradas[[#This Row],[Data]])</f>
        <v>3</v>
      </c>
      <c r="C20" s="37">
        <v>44647</v>
      </c>
      <c r="D20" s="104">
        <v>3</v>
      </c>
      <c r="E20" s="30">
        <v>4</v>
      </c>
      <c r="F20" s="36">
        <v>50</v>
      </c>
    </row>
    <row r="21" spans="2:6" ht="16.149999999999999">
      <c r="B21" s="41">
        <f>MONTH(TB_Entradas[[#This Row],[Data]])</f>
        <v>4</v>
      </c>
      <c r="C21" s="37">
        <v>44655</v>
      </c>
      <c r="D21" s="104">
        <v>16</v>
      </c>
      <c r="E21" s="30">
        <v>4</v>
      </c>
      <c r="F21" s="36">
        <v>90</v>
      </c>
    </row>
    <row r="22" spans="2:6" ht="16.149999999999999">
      <c r="B22" s="41">
        <f>MONTH(TB_Entradas[[#This Row],[Data]])</f>
        <v>4</v>
      </c>
      <c r="C22" s="37">
        <v>44661</v>
      </c>
      <c r="D22" s="104">
        <v>1</v>
      </c>
      <c r="E22" s="30">
        <v>1</v>
      </c>
      <c r="F22" s="36">
        <v>150</v>
      </c>
    </row>
    <row r="23" spans="2:6" ht="16.149999999999999">
      <c r="B23" s="41">
        <f>MONTH(TB_Entradas[[#This Row],[Data]])</f>
        <v>4</v>
      </c>
      <c r="C23" s="37">
        <v>44672</v>
      </c>
      <c r="D23" s="104">
        <v>11</v>
      </c>
      <c r="E23" s="30">
        <v>1</v>
      </c>
      <c r="F23" s="36">
        <v>60</v>
      </c>
    </row>
    <row r="24" spans="2:6" ht="16.149999999999999">
      <c r="B24" s="41">
        <f>MONTH(TB_Entradas[[#This Row],[Data]])</f>
        <v>4</v>
      </c>
      <c r="C24" s="37">
        <v>44681</v>
      </c>
      <c r="D24" s="104">
        <v>3</v>
      </c>
      <c r="E24" s="30">
        <v>4</v>
      </c>
      <c r="F24" s="36">
        <v>50</v>
      </c>
    </row>
    <row r="25" spans="2:6" ht="16.149999999999999">
      <c r="B25" s="41">
        <f>MONTH(TB_Entradas[[#This Row],[Data]])</f>
        <v>5</v>
      </c>
      <c r="C25" s="37">
        <v>44686</v>
      </c>
      <c r="D25" s="104">
        <v>18</v>
      </c>
      <c r="E25" s="30">
        <v>2</v>
      </c>
      <c r="F25" s="36">
        <v>60</v>
      </c>
    </row>
    <row r="26" spans="2:6" ht="16.149999999999999">
      <c r="B26" s="41">
        <f>MONTH(TB_Entradas[[#This Row],[Data]])</f>
        <v>5</v>
      </c>
      <c r="C26" s="37">
        <v>44687</v>
      </c>
      <c r="D26" s="104">
        <v>3</v>
      </c>
      <c r="E26" s="30">
        <v>4</v>
      </c>
      <c r="F26" s="36">
        <v>50</v>
      </c>
    </row>
    <row r="27" spans="2:6" ht="16.149999999999999">
      <c r="B27" s="41">
        <f>MONTH(TB_Entradas[[#This Row],[Data]])</f>
        <v>5</v>
      </c>
      <c r="C27" s="37">
        <v>44691</v>
      </c>
      <c r="D27" s="104">
        <v>16</v>
      </c>
      <c r="E27" s="30">
        <v>4</v>
      </c>
      <c r="F27" s="36">
        <v>30</v>
      </c>
    </row>
    <row r="28" spans="2:6" ht="16.149999999999999">
      <c r="B28" s="41">
        <f>MONTH(TB_Entradas[[#This Row],[Data]])</f>
        <v>5</v>
      </c>
      <c r="C28" s="37">
        <v>44691</v>
      </c>
      <c r="D28" s="104">
        <v>1</v>
      </c>
      <c r="E28" s="30">
        <v>1</v>
      </c>
      <c r="F28" s="36">
        <v>100</v>
      </c>
    </row>
    <row r="29" spans="2:6" ht="16.149999999999999">
      <c r="B29" s="41">
        <f>MONTH(TB_Entradas[[#This Row],[Data]])</f>
        <v>5</v>
      </c>
      <c r="C29" s="37">
        <v>44698</v>
      </c>
      <c r="D29" s="104">
        <v>11</v>
      </c>
      <c r="E29" s="30">
        <v>1</v>
      </c>
      <c r="F29" s="36">
        <v>45</v>
      </c>
    </row>
    <row r="30" spans="2:6" ht="16.149999999999999">
      <c r="B30" s="41">
        <f>MONTH(TB_Entradas[[#This Row],[Data]])</f>
        <v>6</v>
      </c>
      <c r="C30" s="37">
        <v>44714</v>
      </c>
      <c r="D30" s="104">
        <v>1</v>
      </c>
      <c r="E30" s="30">
        <v>1</v>
      </c>
      <c r="F30" s="36">
        <v>150</v>
      </c>
    </row>
    <row r="31" spans="2:6" ht="16.149999999999999">
      <c r="B31" s="41">
        <f>MONTH(TB_Entradas[[#This Row],[Data]])</f>
        <v>6</v>
      </c>
      <c r="C31" s="37">
        <v>44719</v>
      </c>
      <c r="D31" s="104">
        <v>11</v>
      </c>
      <c r="E31" s="30">
        <v>1</v>
      </c>
      <c r="F31" s="36">
        <v>115</v>
      </c>
    </row>
    <row r="32" spans="2:6" ht="16.149999999999999">
      <c r="B32" s="41">
        <f>MONTH(TB_Entradas[[#This Row],[Data]])</f>
        <v>6</v>
      </c>
      <c r="C32" s="37">
        <v>44727</v>
      </c>
      <c r="D32" s="104">
        <v>16</v>
      </c>
      <c r="E32" s="30">
        <v>4</v>
      </c>
      <c r="F32" s="36">
        <v>100</v>
      </c>
    </row>
    <row r="33" spans="2:6" ht="16.149999999999999">
      <c r="B33" s="41">
        <f>MONTH(TB_Entradas[[#This Row],[Data]])</f>
        <v>6</v>
      </c>
      <c r="C33" s="37">
        <v>44735</v>
      </c>
      <c r="D33" s="104">
        <v>3</v>
      </c>
      <c r="E33" s="30">
        <v>4</v>
      </c>
      <c r="F33" s="36">
        <v>45</v>
      </c>
    </row>
    <row r="34" spans="2:6" ht="16.149999999999999">
      <c r="B34" s="41">
        <f>MONTH(TB_Entradas[[#This Row],[Data]])</f>
        <v>7</v>
      </c>
      <c r="C34" s="37">
        <v>44743</v>
      </c>
      <c r="D34" s="104">
        <v>1</v>
      </c>
      <c r="E34" s="30">
        <v>1</v>
      </c>
      <c r="F34" s="36">
        <v>150</v>
      </c>
    </row>
    <row r="35" spans="2:6" ht="16.149999999999999">
      <c r="B35" s="41">
        <f>MONTH(TB_Entradas[[#This Row],[Data]])</f>
        <v>7</v>
      </c>
      <c r="C35" s="37">
        <v>44747</v>
      </c>
      <c r="D35" s="104">
        <v>16</v>
      </c>
      <c r="E35" s="30">
        <v>4</v>
      </c>
      <c r="F35" s="36">
        <v>60</v>
      </c>
    </row>
    <row r="36" spans="2:6" ht="16.149999999999999">
      <c r="B36" s="41">
        <f>MONTH(TB_Entradas[[#This Row],[Data]])</f>
        <v>7</v>
      </c>
      <c r="C36" s="37">
        <v>44749</v>
      </c>
      <c r="D36" s="104">
        <v>11</v>
      </c>
      <c r="E36" s="30">
        <v>1</v>
      </c>
      <c r="F36" s="36">
        <v>120</v>
      </c>
    </row>
    <row r="37" spans="2:6" ht="16.149999999999999">
      <c r="B37" s="41">
        <f>MONTH(TB_Entradas[[#This Row],[Data]])</f>
        <v>7</v>
      </c>
      <c r="C37" s="37">
        <v>44757</v>
      </c>
      <c r="D37" s="104">
        <v>3</v>
      </c>
      <c r="E37" s="30">
        <v>4</v>
      </c>
      <c r="F37" s="36">
        <v>20</v>
      </c>
    </row>
    <row r="38" spans="2:6" ht="16.149999999999999">
      <c r="B38" s="41">
        <f>MONTH(TB_Entradas[[#This Row],[Data]])</f>
        <v>8</v>
      </c>
      <c r="C38" s="37">
        <v>44778</v>
      </c>
      <c r="D38" s="104">
        <v>11</v>
      </c>
      <c r="E38" s="30">
        <v>1</v>
      </c>
      <c r="F38" s="36">
        <v>35</v>
      </c>
    </row>
    <row r="39" spans="2:6" ht="16.149999999999999">
      <c r="B39" s="41">
        <f>MONTH(TB_Entradas[[#This Row],[Data]])</f>
        <v>8</v>
      </c>
      <c r="C39" s="37">
        <v>44783</v>
      </c>
      <c r="D39" s="104">
        <v>14</v>
      </c>
      <c r="E39" s="30">
        <v>1</v>
      </c>
      <c r="F39" s="36">
        <v>100</v>
      </c>
    </row>
    <row r="40" spans="2:6" ht="16.149999999999999">
      <c r="B40" s="41">
        <f>MONTH(TB_Entradas[[#This Row],[Data]])</f>
        <v>8</v>
      </c>
      <c r="C40" s="37">
        <v>44791</v>
      </c>
      <c r="D40" s="104">
        <v>16</v>
      </c>
      <c r="E40" s="30">
        <v>4</v>
      </c>
      <c r="F40" s="36">
        <v>30</v>
      </c>
    </row>
    <row r="41" spans="2:6" ht="16.149999999999999">
      <c r="B41" s="41">
        <f>MONTH(TB_Entradas[[#This Row],[Data]])</f>
        <v>8</v>
      </c>
      <c r="C41" s="37">
        <v>44791</v>
      </c>
      <c r="D41" s="104">
        <v>3</v>
      </c>
      <c r="E41" s="30">
        <v>4</v>
      </c>
      <c r="F41" s="36">
        <v>30</v>
      </c>
    </row>
    <row r="42" spans="2:6" ht="16.149999999999999">
      <c r="B42" s="41">
        <f>MONTH(TB_Entradas[[#This Row],[Data]])</f>
        <v>8</v>
      </c>
      <c r="C42" s="37">
        <v>44804</v>
      </c>
      <c r="D42" s="104">
        <v>1</v>
      </c>
      <c r="E42" s="30">
        <v>1</v>
      </c>
      <c r="F42" s="36">
        <v>150</v>
      </c>
    </row>
    <row r="43" spans="2:6" ht="16.149999999999999">
      <c r="B43" s="41">
        <f>MONTH(TB_Entradas[[#This Row],[Data]])</f>
        <v>9</v>
      </c>
      <c r="C43" s="37">
        <v>44806</v>
      </c>
      <c r="D43" s="104">
        <v>26</v>
      </c>
      <c r="E43" s="30">
        <v>3</v>
      </c>
      <c r="F43" s="36">
        <v>100</v>
      </c>
    </row>
    <row r="44" spans="2:6" ht="16.149999999999999">
      <c r="B44" s="41">
        <f>MONTH(TB_Entradas[[#This Row],[Data]])</f>
        <v>9</v>
      </c>
      <c r="C44" s="37">
        <v>44811</v>
      </c>
      <c r="D44" s="104">
        <v>11</v>
      </c>
      <c r="E44" s="30">
        <v>1</v>
      </c>
      <c r="F44" s="36">
        <v>34</v>
      </c>
    </row>
    <row r="45" spans="2:6" ht="16.149999999999999">
      <c r="B45" s="41">
        <f>MONTH(TB_Entradas[[#This Row],[Data]])</f>
        <v>9</v>
      </c>
      <c r="C45" s="37">
        <v>44821</v>
      </c>
      <c r="D45" s="104">
        <v>19</v>
      </c>
      <c r="E45" s="30">
        <v>2</v>
      </c>
      <c r="F45" s="36">
        <v>50</v>
      </c>
    </row>
    <row r="46" spans="2:6" ht="16.149999999999999">
      <c r="B46" s="41">
        <f>MONTH(TB_Entradas[[#This Row],[Data]])</f>
        <v>9</v>
      </c>
      <c r="C46" s="37">
        <v>44823</v>
      </c>
      <c r="D46" s="104">
        <v>16</v>
      </c>
      <c r="E46" s="30">
        <v>4</v>
      </c>
      <c r="F46" s="36">
        <v>20</v>
      </c>
    </row>
    <row r="47" spans="2:6" ht="16.149999999999999">
      <c r="B47" s="41">
        <f>MONTH(TB_Entradas[[#This Row],[Data]])</f>
        <v>9</v>
      </c>
      <c r="C47" s="37">
        <v>44828</v>
      </c>
      <c r="D47" s="104">
        <v>3</v>
      </c>
      <c r="E47" s="30">
        <v>4</v>
      </c>
      <c r="F47" s="36">
        <v>15</v>
      </c>
    </row>
    <row r="48" spans="2:6" ht="16.149999999999999">
      <c r="B48" s="41">
        <f>MONTH(TB_Entradas[[#This Row],[Data]])</f>
        <v>9</v>
      </c>
      <c r="C48" s="37">
        <v>44834</v>
      </c>
      <c r="D48" s="104">
        <v>1</v>
      </c>
      <c r="E48" s="30">
        <v>1</v>
      </c>
      <c r="F48" s="36">
        <v>180</v>
      </c>
    </row>
    <row r="49" spans="2:6" ht="16.149999999999999">
      <c r="B49" s="41">
        <f>MONTH(TB_Entradas[[#This Row],[Data]])</f>
        <v>10</v>
      </c>
      <c r="C49" s="37">
        <v>44835</v>
      </c>
      <c r="D49" s="104">
        <v>11</v>
      </c>
      <c r="E49" s="30">
        <v>1</v>
      </c>
      <c r="F49" s="36">
        <v>46</v>
      </c>
    </row>
    <row r="50" spans="2:6" ht="16.149999999999999">
      <c r="B50" s="41">
        <f>MONTH(TB_Entradas[[#This Row],[Data]])</f>
        <v>10</v>
      </c>
      <c r="C50" s="37">
        <v>44841</v>
      </c>
      <c r="D50" s="104">
        <v>16</v>
      </c>
      <c r="E50" s="30">
        <v>4</v>
      </c>
      <c r="F50" s="36">
        <v>35</v>
      </c>
    </row>
    <row r="51" spans="2:6" ht="16.149999999999999">
      <c r="B51" s="41">
        <f>MONTH(TB_Entradas[[#This Row],[Data]])</f>
        <v>10</v>
      </c>
      <c r="C51" s="37">
        <v>44854</v>
      </c>
      <c r="D51" s="104">
        <v>1</v>
      </c>
      <c r="E51" s="30">
        <v>1</v>
      </c>
      <c r="F51" s="36">
        <v>100</v>
      </c>
    </row>
    <row r="52" spans="2:6" ht="16.149999999999999">
      <c r="B52" s="41">
        <f>MONTH(TB_Entradas[[#This Row],[Data]])</f>
        <v>10</v>
      </c>
      <c r="C52" s="37">
        <v>44859</v>
      </c>
      <c r="D52" s="104">
        <v>3</v>
      </c>
      <c r="E52" s="30">
        <v>4</v>
      </c>
      <c r="F52" s="36">
        <v>55</v>
      </c>
    </row>
    <row r="53" spans="2:6" ht="16.149999999999999">
      <c r="B53" s="41">
        <f>MONTH(TB_Entradas[[#This Row],[Data]])</f>
        <v>11</v>
      </c>
      <c r="C53" s="37">
        <v>44874</v>
      </c>
      <c r="D53" s="104">
        <v>20</v>
      </c>
      <c r="E53" s="30">
        <v>3</v>
      </c>
      <c r="F53" s="36">
        <v>100</v>
      </c>
    </row>
    <row r="54" spans="2:6" ht="16.149999999999999">
      <c r="B54" s="41">
        <f>MONTH(TB_Entradas[[#This Row],[Data]])</f>
        <v>11</v>
      </c>
      <c r="C54" s="37">
        <v>44880</v>
      </c>
      <c r="D54" s="104">
        <v>1</v>
      </c>
      <c r="E54" s="30">
        <v>1</v>
      </c>
      <c r="F54" s="36">
        <v>80</v>
      </c>
    </row>
    <row r="55" spans="2:6" ht="16.149999999999999">
      <c r="B55" s="41">
        <f>MONTH(TB_Entradas[[#This Row],[Data]])</f>
        <v>11</v>
      </c>
      <c r="C55" s="37">
        <v>44883</v>
      </c>
      <c r="D55" s="104">
        <v>11</v>
      </c>
      <c r="E55" s="30">
        <v>1</v>
      </c>
      <c r="F55" s="36">
        <v>45</v>
      </c>
    </row>
    <row r="56" spans="2:6" ht="16.149999999999999">
      <c r="B56" s="41">
        <f>MONTH(TB_Entradas[[#This Row],[Data]])</f>
        <v>11</v>
      </c>
      <c r="C56" s="37">
        <v>44888</v>
      </c>
      <c r="D56" s="104">
        <v>16</v>
      </c>
      <c r="E56" s="30">
        <v>4</v>
      </c>
      <c r="F56" s="36">
        <v>20</v>
      </c>
    </row>
    <row r="57" spans="2:6" ht="16.149999999999999">
      <c r="B57" s="41">
        <f>MONTH(TB_Entradas[[#This Row],[Data]])</f>
        <v>11</v>
      </c>
      <c r="C57" s="37">
        <v>44895</v>
      </c>
      <c r="D57" s="104">
        <v>3</v>
      </c>
      <c r="E57" s="30">
        <v>4</v>
      </c>
      <c r="F57" s="36">
        <v>35</v>
      </c>
    </row>
    <row r="58" spans="2:6" ht="16.149999999999999">
      <c r="B58" s="41">
        <f>MONTH(TB_Entradas[[#This Row],[Data]])</f>
        <v>12</v>
      </c>
      <c r="C58" s="37">
        <v>44907</v>
      </c>
      <c r="D58" s="104">
        <v>1</v>
      </c>
      <c r="E58" s="30">
        <v>1</v>
      </c>
      <c r="F58" s="38">
        <v>200</v>
      </c>
    </row>
    <row r="59" spans="2:6" ht="16.149999999999999">
      <c r="B59" s="41">
        <f>MONTH(TB_Entradas[[#This Row],[Data]])</f>
        <v>12</v>
      </c>
      <c r="C59" s="37">
        <v>44910</v>
      </c>
      <c r="D59" s="104">
        <v>11</v>
      </c>
      <c r="E59" s="30">
        <v>1</v>
      </c>
      <c r="F59" s="38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I63"/>
  <sheetViews>
    <sheetView showGridLines="0" zoomScaleNormal="100" workbookViewId="0">
      <selection activeCell="I8" sqref="I8"/>
    </sheetView>
  </sheetViews>
  <sheetFormatPr defaultColWidth="9.28515625" defaultRowHeight="14.45"/>
  <cols>
    <col min="1" max="1" width="5.28515625" customWidth="1"/>
    <col min="2" max="2" width="10.7109375" style="2" customWidth="1"/>
    <col min="3" max="3" width="15.28515625" customWidth="1"/>
    <col min="4" max="4" width="20.7109375" customWidth="1"/>
    <col min="5" max="5" width="23.28515625" customWidth="1"/>
    <col min="8" max="8" width="16.42578125" bestFit="1" customWidth="1"/>
    <col min="9" max="9" width="12.28515625" bestFit="1" customWidth="1"/>
  </cols>
  <sheetData>
    <row r="1" spans="2:9" s="24" customFormat="1" ht="60" customHeight="1">
      <c r="E1" s="32" t="s">
        <v>129</v>
      </c>
    </row>
    <row r="2" spans="2:9" s="27" customFormat="1" ht="6" customHeight="1"/>
    <row r="5" spans="2:9">
      <c r="B5" s="34" t="s">
        <v>44</v>
      </c>
      <c r="C5" s="34" t="s">
        <v>126</v>
      </c>
      <c r="D5" s="34" t="s">
        <v>94</v>
      </c>
      <c r="E5" s="34" t="s">
        <v>130</v>
      </c>
      <c r="H5" s="99" t="s">
        <v>131</v>
      </c>
      <c r="I5" s="99" t="s">
        <v>132</v>
      </c>
    </row>
    <row r="6" spans="2:9" ht="16.149999999999999">
      <c r="B6" s="41">
        <f>MONTH(TB_Saídas[[#This Row],[Data]])</f>
        <v>1</v>
      </c>
      <c r="C6" s="35">
        <v>44566</v>
      </c>
      <c r="D6">
        <v>3</v>
      </c>
      <c r="E6" s="30">
        <v>30</v>
      </c>
      <c r="H6" s="106">
        <v>19042.5</v>
      </c>
      <c r="I6" s="108">
        <v>45.526315789473685</v>
      </c>
    </row>
    <row r="7" spans="2:9" ht="16.149999999999999">
      <c r="B7" s="41">
        <f>MONTH(TB_Saídas[[#This Row],[Data]])</f>
        <v>1</v>
      </c>
      <c r="C7" s="35">
        <v>44567</v>
      </c>
      <c r="D7">
        <v>1</v>
      </c>
      <c r="E7" s="30">
        <v>80</v>
      </c>
    </row>
    <row r="8" spans="2:9" ht="16.149999999999999">
      <c r="B8" s="41">
        <f>MONTH(TB_Saídas[[#This Row],[Data]])</f>
        <v>1</v>
      </c>
      <c r="C8" s="35">
        <v>44581</v>
      </c>
      <c r="D8">
        <v>16</v>
      </c>
      <c r="E8" s="30">
        <v>50</v>
      </c>
    </row>
    <row r="9" spans="2:9" ht="16.149999999999999">
      <c r="B9" s="41">
        <f>MONTH(TB_Saídas[[#This Row],[Data]])</f>
        <v>1</v>
      </c>
      <c r="C9" s="35">
        <v>44586</v>
      </c>
      <c r="D9">
        <v>11</v>
      </c>
      <c r="E9" s="30">
        <v>50</v>
      </c>
    </row>
    <row r="10" spans="2:9" ht="16.149999999999999">
      <c r="B10" s="41">
        <f>MONTH(TB_Saídas[[#This Row],[Data]])</f>
        <v>2</v>
      </c>
      <c r="C10" s="35">
        <v>44597</v>
      </c>
      <c r="D10">
        <v>16</v>
      </c>
      <c r="E10" s="30">
        <v>30</v>
      </c>
    </row>
    <row r="11" spans="2:9" ht="16.149999999999999">
      <c r="B11" s="41">
        <f>MONTH(TB_Saídas[[#This Row],[Data]])</f>
        <v>2</v>
      </c>
      <c r="C11" s="35">
        <v>44598</v>
      </c>
      <c r="D11">
        <v>1</v>
      </c>
      <c r="E11" s="30">
        <v>110</v>
      </c>
    </row>
    <row r="12" spans="2:9" ht="16.149999999999999">
      <c r="B12" s="41">
        <f>MONTH(TB_Saídas[[#This Row],[Data]])</f>
        <v>2</v>
      </c>
      <c r="C12" s="35">
        <v>44602</v>
      </c>
      <c r="D12">
        <v>11</v>
      </c>
      <c r="E12" s="30">
        <v>75</v>
      </c>
    </row>
    <row r="13" spans="2:9" ht="16.149999999999999">
      <c r="B13" s="41">
        <f>MONTH(TB_Saídas[[#This Row],[Data]])</f>
        <v>2</v>
      </c>
      <c r="C13" s="35">
        <v>44620</v>
      </c>
      <c r="D13">
        <v>3</v>
      </c>
      <c r="E13" s="30">
        <v>20</v>
      </c>
    </row>
    <row r="14" spans="2:9" ht="16.149999999999999">
      <c r="B14" s="41">
        <f>MONTH(TB_Saídas[[#This Row],[Data]])</f>
        <v>3</v>
      </c>
      <c r="C14" s="35">
        <v>44626</v>
      </c>
      <c r="D14">
        <v>26</v>
      </c>
      <c r="E14" s="30">
        <v>110</v>
      </c>
    </row>
    <row r="15" spans="2:9" ht="16.149999999999999">
      <c r="B15" s="41">
        <f>MONTH(TB_Saídas[[#This Row],[Data]])</f>
        <v>3</v>
      </c>
      <c r="C15" s="35">
        <v>44631</v>
      </c>
      <c r="D15">
        <v>16</v>
      </c>
      <c r="E15" s="30">
        <v>40</v>
      </c>
    </row>
    <row r="16" spans="2:9" ht="16.149999999999999">
      <c r="B16" s="41">
        <f>MONTH(TB_Saídas[[#This Row],[Data]])</f>
        <v>3</v>
      </c>
      <c r="C16" s="35">
        <v>44646</v>
      </c>
      <c r="D16">
        <v>11</v>
      </c>
      <c r="E16" s="30">
        <v>50</v>
      </c>
    </row>
    <row r="17" spans="2:5" ht="16.149999999999999">
      <c r="B17" s="41">
        <f>MONTH(TB_Saídas[[#This Row],[Data]])</f>
        <v>3</v>
      </c>
      <c r="C17" s="35">
        <v>44649</v>
      </c>
      <c r="D17">
        <v>3</v>
      </c>
      <c r="E17" s="30">
        <v>15</v>
      </c>
    </row>
    <row r="18" spans="2:5" ht="16.149999999999999">
      <c r="B18" s="41">
        <f>MONTH(TB_Saídas[[#This Row],[Data]])</f>
        <v>3</v>
      </c>
      <c r="C18" s="35">
        <v>44630</v>
      </c>
      <c r="D18">
        <v>1</v>
      </c>
      <c r="E18" s="30">
        <v>100</v>
      </c>
    </row>
    <row r="19" spans="2:5" ht="16.149999999999999">
      <c r="B19" s="41">
        <f>MONTH(TB_Saídas[[#This Row],[Data]])</f>
        <v>4</v>
      </c>
      <c r="C19" s="35">
        <v>44659</v>
      </c>
      <c r="D19">
        <v>3</v>
      </c>
      <c r="E19" s="30">
        <v>40</v>
      </c>
    </row>
    <row r="20" spans="2:5" ht="16.149999999999999">
      <c r="B20" s="41">
        <f>MONTH(TB_Saídas[[#This Row],[Data]])</f>
        <v>4</v>
      </c>
      <c r="C20" s="35">
        <v>44663</v>
      </c>
      <c r="D20">
        <v>1</v>
      </c>
      <c r="E20" s="30">
        <v>75</v>
      </c>
    </row>
    <row r="21" spans="2:5" ht="16.149999999999999">
      <c r="B21" s="41">
        <f>MONTH(TB_Saídas[[#This Row],[Data]])</f>
        <v>4</v>
      </c>
      <c r="C21" s="35">
        <v>44667</v>
      </c>
      <c r="D21">
        <v>21</v>
      </c>
      <c r="E21" s="30">
        <v>25</v>
      </c>
    </row>
    <row r="22" spans="2:5" ht="16.149999999999999">
      <c r="B22" s="41">
        <f>MONTH(TB_Saídas[[#This Row],[Data]])</f>
        <v>4</v>
      </c>
      <c r="C22" s="35">
        <v>44671</v>
      </c>
      <c r="D22">
        <v>16</v>
      </c>
      <c r="E22" s="30">
        <v>40</v>
      </c>
    </row>
    <row r="23" spans="2:5" ht="16.149999999999999">
      <c r="B23" s="41">
        <f>MONTH(TB_Saídas[[#This Row],[Data]])</f>
        <v>4</v>
      </c>
      <c r="C23" s="35">
        <v>44681</v>
      </c>
      <c r="D23">
        <v>11</v>
      </c>
      <c r="E23" s="30">
        <v>35</v>
      </c>
    </row>
    <row r="24" spans="2:5" ht="16.149999999999999">
      <c r="B24" s="41">
        <f>MONTH(TB_Saídas[[#This Row],[Data]])</f>
        <v>5</v>
      </c>
      <c r="C24" s="35">
        <v>44691</v>
      </c>
      <c r="D24">
        <v>16</v>
      </c>
      <c r="E24" s="30">
        <v>35</v>
      </c>
    </row>
    <row r="25" spans="2:5" ht="16.149999999999999">
      <c r="B25" s="41">
        <f>MONTH(TB_Saídas[[#This Row],[Data]])</f>
        <v>5</v>
      </c>
      <c r="C25" s="35">
        <v>44692</v>
      </c>
      <c r="D25">
        <v>18</v>
      </c>
      <c r="E25" s="30">
        <v>20</v>
      </c>
    </row>
    <row r="26" spans="2:5" ht="16.149999999999999">
      <c r="B26" s="41">
        <f>MONTH(TB_Saídas[[#This Row],[Data]])</f>
        <v>5</v>
      </c>
      <c r="C26" s="35">
        <v>44692</v>
      </c>
      <c r="D26">
        <v>1</v>
      </c>
      <c r="E26" s="30">
        <v>75</v>
      </c>
    </row>
    <row r="27" spans="2:5" ht="16.149999999999999">
      <c r="B27" s="41">
        <f>MONTH(TB_Saídas[[#This Row],[Data]])</f>
        <v>5</v>
      </c>
      <c r="C27" s="35">
        <v>44700</v>
      </c>
      <c r="D27">
        <v>11</v>
      </c>
      <c r="E27" s="30">
        <v>27</v>
      </c>
    </row>
    <row r="28" spans="2:5" ht="16.149999999999999">
      <c r="B28" s="41">
        <f>MONTH(TB_Saídas[[#This Row],[Data]])</f>
        <v>5</v>
      </c>
      <c r="C28" s="35">
        <v>44700</v>
      </c>
      <c r="D28">
        <v>3</v>
      </c>
      <c r="E28" s="30">
        <v>20</v>
      </c>
    </row>
    <row r="29" spans="2:5" ht="16.149999999999999">
      <c r="B29" s="41">
        <f>MONTH(TB_Saídas[[#This Row],[Data]])</f>
        <v>6</v>
      </c>
      <c r="C29" s="35">
        <v>44737</v>
      </c>
      <c r="D29">
        <v>11</v>
      </c>
      <c r="E29" s="30">
        <v>35</v>
      </c>
    </row>
    <row r="30" spans="2:5" ht="16.149999999999999">
      <c r="B30" s="41">
        <f>MONTH(TB_Saídas[[#This Row],[Data]])</f>
        <v>6</v>
      </c>
      <c r="C30" s="35">
        <v>44738</v>
      </c>
      <c r="D30">
        <v>1</v>
      </c>
      <c r="E30" s="30">
        <v>100</v>
      </c>
    </row>
    <row r="31" spans="2:5" ht="16.149999999999999">
      <c r="B31" s="41">
        <f>MONTH(TB_Saídas[[#This Row],[Data]])</f>
        <v>6</v>
      </c>
      <c r="C31" s="35">
        <v>44738</v>
      </c>
      <c r="D31">
        <v>16</v>
      </c>
      <c r="E31" s="30">
        <v>20</v>
      </c>
    </row>
    <row r="32" spans="2:5" ht="16.149999999999999">
      <c r="B32" s="41">
        <f>MONTH(TB_Saídas[[#This Row],[Data]])</f>
        <v>6</v>
      </c>
      <c r="C32" s="35">
        <v>44739</v>
      </c>
      <c r="D32">
        <v>3</v>
      </c>
      <c r="E32" s="30">
        <v>15</v>
      </c>
    </row>
    <row r="33" spans="2:5" ht="16.149999999999999">
      <c r="B33" s="41">
        <f>MONTH(TB_Saídas[[#This Row],[Data]])</f>
        <v>7</v>
      </c>
      <c r="C33" s="35">
        <v>44749</v>
      </c>
      <c r="D33">
        <v>17</v>
      </c>
      <c r="E33" s="30">
        <v>40</v>
      </c>
    </row>
    <row r="34" spans="2:5" ht="16.149999999999999">
      <c r="B34" s="41">
        <f>MONTH(TB_Saídas[[#This Row],[Data]])</f>
        <v>7</v>
      </c>
      <c r="C34" s="35">
        <v>44749</v>
      </c>
      <c r="D34">
        <v>1</v>
      </c>
      <c r="E34" s="30">
        <v>90</v>
      </c>
    </row>
    <row r="35" spans="2:5" ht="16.149999999999999">
      <c r="B35" s="41">
        <f>MONTH(TB_Saídas[[#This Row],[Data]])</f>
        <v>7</v>
      </c>
      <c r="C35" s="35">
        <v>44758</v>
      </c>
      <c r="D35">
        <v>3</v>
      </c>
      <c r="E35" s="30">
        <v>35</v>
      </c>
    </row>
    <row r="36" spans="2:5" ht="16.149999999999999">
      <c r="B36" s="41">
        <f>MONTH(TB_Saídas[[#This Row],[Data]])</f>
        <v>7</v>
      </c>
      <c r="C36" s="35">
        <v>44765</v>
      </c>
      <c r="D36">
        <v>11</v>
      </c>
      <c r="E36" s="30">
        <v>75</v>
      </c>
    </row>
    <row r="37" spans="2:5" ht="16.149999999999999">
      <c r="B37" s="41">
        <f>MONTH(TB_Saídas[[#This Row],[Data]])</f>
        <v>7</v>
      </c>
      <c r="C37" s="35">
        <v>44772</v>
      </c>
      <c r="D37">
        <v>16</v>
      </c>
      <c r="E37" s="30">
        <v>55</v>
      </c>
    </row>
    <row r="38" spans="2:5" ht="16.149999999999999">
      <c r="B38" s="41">
        <f>MONTH(TB_Saídas[[#This Row],[Data]])</f>
        <v>8</v>
      </c>
      <c r="C38" s="35">
        <v>44792</v>
      </c>
      <c r="D38">
        <v>3</v>
      </c>
      <c r="E38" s="30">
        <v>12</v>
      </c>
    </row>
    <row r="39" spans="2:5" ht="16.149999999999999">
      <c r="B39" s="41">
        <f>MONTH(TB_Saídas[[#This Row],[Data]])</f>
        <v>8</v>
      </c>
      <c r="C39" s="35">
        <v>44794</v>
      </c>
      <c r="D39">
        <v>11</v>
      </c>
      <c r="E39" s="30">
        <v>36</v>
      </c>
    </row>
    <row r="40" spans="2:5" ht="16.149999999999999">
      <c r="B40" s="41">
        <f>MONTH(TB_Saídas[[#This Row],[Data]])</f>
        <v>8</v>
      </c>
      <c r="C40" s="35">
        <v>44803</v>
      </c>
      <c r="D40">
        <v>14</v>
      </c>
      <c r="E40" s="30">
        <v>90</v>
      </c>
    </row>
    <row r="41" spans="2:5" ht="16.149999999999999">
      <c r="B41" s="41">
        <f>MONTH(TB_Saídas[[#This Row],[Data]])</f>
        <v>8</v>
      </c>
      <c r="C41" s="35">
        <v>44803</v>
      </c>
      <c r="D41">
        <v>16</v>
      </c>
      <c r="E41" s="30">
        <v>25</v>
      </c>
    </row>
    <row r="42" spans="2:5" ht="16.149999999999999">
      <c r="B42" s="41">
        <f>MONTH(TB_Saídas[[#This Row],[Data]])</f>
        <v>8</v>
      </c>
      <c r="C42" s="35">
        <v>44803</v>
      </c>
      <c r="D42">
        <v>1</v>
      </c>
      <c r="E42" s="30">
        <v>100</v>
      </c>
    </row>
    <row r="43" spans="2:5" ht="16.149999999999999">
      <c r="B43" s="41">
        <f>MONTH(TB_Saídas[[#This Row],[Data]])</f>
        <v>9</v>
      </c>
      <c r="C43" s="35">
        <v>44811</v>
      </c>
      <c r="D43">
        <v>26</v>
      </c>
      <c r="E43" s="30">
        <v>100</v>
      </c>
    </row>
    <row r="44" spans="2:5" ht="16.149999999999999">
      <c r="B44" s="41">
        <f>MONTH(TB_Saídas[[#This Row],[Data]])</f>
        <v>9</v>
      </c>
      <c r="C44" s="35">
        <v>44811</v>
      </c>
      <c r="D44">
        <v>1</v>
      </c>
      <c r="E44" s="30">
        <v>35</v>
      </c>
    </row>
    <row r="45" spans="2:5" ht="16.149999999999999">
      <c r="B45" s="41">
        <f>MONTH(TB_Saídas[[#This Row],[Data]])</f>
        <v>9</v>
      </c>
      <c r="C45" s="35">
        <v>44821</v>
      </c>
      <c r="D45">
        <v>11</v>
      </c>
      <c r="E45" s="30">
        <v>42</v>
      </c>
    </row>
    <row r="46" spans="2:5" ht="16.149999999999999">
      <c r="B46" s="41">
        <f>MONTH(TB_Saídas[[#This Row],[Data]])</f>
        <v>9</v>
      </c>
      <c r="C46" s="35">
        <v>44823</v>
      </c>
      <c r="D46">
        <v>19</v>
      </c>
      <c r="E46" s="30">
        <v>30</v>
      </c>
    </row>
    <row r="47" spans="2:5" ht="16.149999999999999">
      <c r="B47" s="41">
        <f>MONTH(TB_Saídas[[#This Row],[Data]])</f>
        <v>9</v>
      </c>
      <c r="C47" s="35">
        <v>44829</v>
      </c>
      <c r="D47">
        <v>16</v>
      </c>
      <c r="E47" s="30">
        <v>40</v>
      </c>
    </row>
    <row r="48" spans="2:5" ht="16.149999999999999">
      <c r="B48" s="41">
        <f>MONTH(TB_Saídas[[#This Row],[Data]])</f>
        <v>9</v>
      </c>
      <c r="C48" s="35">
        <v>44834</v>
      </c>
      <c r="D48">
        <v>3</v>
      </c>
      <c r="E48" s="30">
        <v>18</v>
      </c>
    </row>
    <row r="49" spans="2:5" ht="16.149999999999999">
      <c r="B49" s="41">
        <f>MONTH(TB_Saídas[[#This Row],[Data]])</f>
        <v>10</v>
      </c>
      <c r="C49" s="35">
        <v>44838</v>
      </c>
      <c r="D49">
        <v>11</v>
      </c>
      <c r="E49" s="30">
        <v>28</v>
      </c>
    </row>
    <row r="50" spans="2:5" ht="16.149999999999999">
      <c r="B50" s="41">
        <f>MONTH(TB_Saídas[[#This Row],[Data]])</f>
        <v>10</v>
      </c>
      <c r="C50" s="35">
        <v>44847</v>
      </c>
      <c r="D50">
        <v>18</v>
      </c>
      <c r="E50" s="30">
        <v>30</v>
      </c>
    </row>
    <row r="51" spans="2:5" ht="16.149999999999999">
      <c r="B51" s="41">
        <f>MONTH(TB_Saídas[[#This Row],[Data]])</f>
        <v>10</v>
      </c>
      <c r="C51" s="35">
        <v>44851</v>
      </c>
      <c r="D51">
        <v>16</v>
      </c>
      <c r="E51" s="30">
        <v>30</v>
      </c>
    </row>
    <row r="52" spans="2:5" ht="16.149999999999999">
      <c r="B52" s="41">
        <f>MONTH(TB_Saídas[[#This Row],[Data]])</f>
        <v>10</v>
      </c>
      <c r="C52" s="35">
        <v>44862</v>
      </c>
      <c r="D52">
        <v>3</v>
      </c>
      <c r="E52" s="30">
        <v>10</v>
      </c>
    </row>
    <row r="53" spans="2:5" ht="16.149999999999999">
      <c r="B53" s="41">
        <f>MONTH(TB_Saídas[[#This Row],[Data]])</f>
        <v>10</v>
      </c>
      <c r="C53" s="35">
        <v>44865</v>
      </c>
      <c r="D53">
        <v>17</v>
      </c>
      <c r="E53" s="30">
        <v>35</v>
      </c>
    </row>
    <row r="54" spans="2:5" ht="16.149999999999999">
      <c r="B54" s="41">
        <f>MONTH(TB_Saídas[[#This Row],[Data]])</f>
        <v>10</v>
      </c>
      <c r="C54" s="35">
        <v>44865</v>
      </c>
      <c r="D54">
        <v>1</v>
      </c>
      <c r="E54" s="30">
        <v>30</v>
      </c>
    </row>
    <row r="55" spans="2:5" ht="16.149999999999999">
      <c r="B55" s="41">
        <f>MONTH(TB_Saídas[[#This Row],[Data]])</f>
        <v>11</v>
      </c>
      <c r="C55" s="35">
        <v>44869</v>
      </c>
      <c r="D55">
        <v>3</v>
      </c>
      <c r="E55" s="30">
        <v>30</v>
      </c>
    </row>
    <row r="56" spans="2:5" ht="16.149999999999999">
      <c r="B56" s="41">
        <f>MONTH(TB_Saídas[[#This Row],[Data]])</f>
        <v>11</v>
      </c>
      <c r="C56" s="35">
        <v>44870</v>
      </c>
      <c r="D56">
        <v>16</v>
      </c>
      <c r="E56" s="30">
        <v>15</v>
      </c>
    </row>
    <row r="57" spans="2:5" ht="16.149999999999999">
      <c r="B57" s="41">
        <f>MONTH(TB_Saídas[[#This Row],[Data]])</f>
        <v>11</v>
      </c>
      <c r="C57" s="35">
        <v>44872</v>
      </c>
      <c r="D57">
        <v>1</v>
      </c>
      <c r="E57" s="30">
        <v>50</v>
      </c>
    </row>
    <row r="58" spans="2:5" ht="16.149999999999999">
      <c r="B58" s="41">
        <f>MONTH(TB_Saídas[[#This Row],[Data]])</f>
        <v>11</v>
      </c>
      <c r="C58" s="35">
        <v>44886</v>
      </c>
      <c r="D58">
        <v>11</v>
      </c>
      <c r="E58" s="30">
        <v>24</v>
      </c>
    </row>
    <row r="59" spans="2:5" ht="16.149999999999999">
      <c r="B59" s="41">
        <f>MONTH(TB_Saídas[[#This Row],[Data]])</f>
        <v>12</v>
      </c>
      <c r="C59" s="35">
        <v>44897</v>
      </c>
      <c r="D59">
        <v>16</v>
      </c>
      <c r="E59" s="30">
        <v>20</v>
      </c>
    </row>
    <row r="60" spans="2:5" ht="16.149999999999999">
      <c r="B60" s="41">
        <f>MONTH(TB_Saídas[[#This Row],[Data]])</f>
        <v>12</v>
      </c>
      <c r="C60" s="35">
        <v>44905</v>
      </c>
      <c r="D60">
        <v>17</v>
      </c>
      <c r="E60" s="30">
        <v>25</v>
      </c>
    </row>
    <row r="61" spans="2:5" ht="16.149999999999999">
      <c r="B61" s="41">
        <f>MONTH(TB_Saídas[[#This Row],[Data]])</f>
        <v>12</v>
      </c>
      <c r="C61" s="35">
        <v>44915</v>
      </c>
      <c r="D61">
        <v>1</v>
      </c>
      <c r="E61" s="30">
        <v>100</v>
      </c>
    </row>
    <row r="62" spans="2:5" ht="16.149999999999999">
      <c r="B62" s="41">
        <f>MONTH(TB_Saídas[[#This Row],[Data]])</f>
        <v>12</v>
      </c>
      <c r="C62" s="35">
        <v>44917</v>
      </c>
      <c r="D62">
        <v>11</v>
      </c>
      <c r="E62" s="30">
        <v>23</v>
      </c>
    </row>
    <row r="63" spans="2:5">
      <c r="B63" s="104"/>
      <c r="C63" s="3"/>
    </row>
  </sheetData>
  <dataConsolidate link="1"/>
  <phoneticPr fontId="3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6BB8-FBDA-4261-94B1-9C28905DFD45}">
  <dimension ref="B1:J16"/>
  <sheetViews>
    <sheetView showGridLines="0" workbookViewId="0">
      <selection activeCell="L14" sqref="L14"/>
    </sheetView>
  </sheetViews>
  <sheetFormatPr defaultColWidth="9.28515625" defaultRowHeight="14.45"/>
  <cols>
    <col min="1" max="1" width="5.28515625" customWidth="1"/>
    <col min="2" max="2" width="2.42578125" customWidth="1"/>
    <col min="3" max="3" width="1.7109375" customWidth="1"/>
    <col min="4" max="4" width="21.7109375" customWidth="1"/>
    <col min="5" max="5" width="0.7109375" customWidth="1"/>
    <col min="6" max="6" width="25.28515625" bestFit="1" customWidth="1"/>
    <col min="7" max="7" width="3.28515625" customWidth="1"/>
  </cols>
  <sheetData>
    <row r="1" spans="2:10" s="24" customFormat="1" ht="60" customHeight="1">
      <c r="G1" s="32" t="s">
        <v>133</v>
      </c>
    </row>
    <row r="2" spans="2:10" s="27" customFormat="1" ht="6" customHeight="1">
      <c r="F2" s="28"/>
    </row>
    <row r="3" spans="2:10">
      <c r="C3" s="5"/>
      <c r="F3" s="5"/>
    </row>
    <row r="4" spans="2:10" ht="9.75" customHeight="1">
      <c r="C4" s="47"/>
      <c r="D4" s="48"/>
      <c r="E4" s="48"/>
      <c r="F4" s="48"/>
      <c r="G4" s="47"/>
    </row>
    <row r="5" spans="2:10" ht="27.75" customHeight="1">
      <c r="B5" s="58"/>
      <c r="C5" s="47"/>
      <c r="D5" s="49" t="s">
        <v>126</v>
      </c>
      <c r="E5" s="50"/>
      <c r="F5" s="49" t="s">
        <v>40</v>
      </c>
      <c r="G5" s="47"/>
    </row>
    <row r="6" spans="2:10" s="6" customFormat="1" ht="27.75" customHeight="1" thickBot="1">
      <c r="B6" s="58"/>
      <c r="C6" s="47"/>
      <c r="D6" s="42" t="s">
        <v>134</v>
      </c>
      <c r="E6" s="56"/>
      <c r="F6" s="43" t="str">
        <f>"=Café"</f>
        <v>=Café</v>
      </c>
      <c r="G6" s="47"/>
      <c r="I6" s="8"/>
      <c r="J6" s="9"/>
    </row>
    <row r="7" spans="2:10" s="6" customFormat="1" ht="15" customHeight="1">
      <c r="B7" s="58"/>
      <c r="C7" s="47"/>
      <c r="D7" s="52"/>
      <c r="E7" s="53"/>
      <c r="F7" s="52"/>
      <c r="G7" s="47"/>
    </row>
    <row r="8" spans="2:10" ht="27.75" customHeight="1">
      <c r="B8" s="58"/>
      <c r="C8" s="51"/>
      <c r="D8" s="54" t="s">
        <v>130</v>
      </c>
      <c r="E8" s="55"/>
      <c r="F8" s="44">
        <f>DSUM(TB_Saídas[#All],Consulta!D8,Consulta!D5:F6)</f>
        <v>0</v>
      </c>
      <c r="G8" s="51" t="s">
        <v>135</v>
      </c>
    </row>
    <row r="9" spans="2:10" ht="15" customHeight="1">
      <c r="B9" s="58"/>
      <c r="C9" s="51"/>
      <c r="D9" s="55"/>
      <c r="E9" s="55"/>
      <c r="F9" s="57"/>
      <c r="G9" s="51"/>
    </row>
    <row r="10" spans="2:10" ht="27.75" customHeight="1">
      <c r="B10" s="58"/>
      <c r="C10" s="51"/>
      <c r="D10" s="54" t="s">
        <v>136</v>
      </c>
      <c r="E10" s="55"/>
      <c r="F10" s="44">
        <f>DSUM(TB_Entradas[#All],"Quantidade Comprada",Consulta!D5:F6)-F8</f>
        <v>0</v>
      </c>
      <c r="G10" s="51"/>
    </row>
    <row r="11" spans="2:10" ht="15" customHeight="1">
      <c r="B11" s="58"/>
      <c r="C11" s="51"/>
      <c r="D11" s="55"/>
      <c r="E11" s="55"/>
      <c r="F11" s="55"/>
      <c r="G11" s="51"/>
    </row>
    <row r="12" spans="2:10" ht="27.75" customHeight="1">
      <c r="B12" s="58"/>
      <c r="C12" s="51"/>
      <c r="D12" s="54" t="s">
        <v>137</v>
      </c>
      <c r="E12" s="55"/>
      <c r="F12" s="45" t="e">
        <f>DSUM(TB_Entradas[#All],Consulta!D12,Consulta!D5:F6)</f>
        <v>#VALUE!</v>
      </c>
      <c r="G12" s="51"/>
    </row>
    <row r="13" spans="2:10" ht="15" customHeight="1">
      <c r="B13" s="58"/>
      <c r="C13" s="51"/>
      <c r="D13" s="55"/>
      <c r="E13" s="55"/>
      <c r="F13" s="57"/>
      <c r="G13" s="51"/>
    </row>
    <row r="14" spans="2:10" ht="27.75" customHeight="1">
      <c r="B14" s="58"/>
      <c r="C14" s="51"/>
      <c r="D14" s="54" t="s">
        <v>138</v>
      </c>
      <c r="E14" s="55"/>
      <c r="F14" s="45" t="e">
        <f>DSUM(TB_Saídas[#All],Consulta!D14,Consulta!D5:F6)</f>
        <v>#VALUE!</v>
      </c>
      <c r="G14" s="51"/>
    </row>
    <row r="15" spans="2:10" ht="21.75" customHeight="1">
      <c r="B15" s="58"/>
      <c r="C15" s="51"/>
      <c r="D15" s="51"/>
      <c r="E15" s="51"/>
      <c r="F15" s="51"/>
      <c r="G15" s="51"/>
    </row>
    <row r="16" spans="2:10" ht="12" customHeight="1">
      <c r="B16" s="58"/>
      <c r="C16" s="58"/>
      <c r="D16" s="58"/>
      <c r="E16" s="58"/>
      <c r="F16" s="58"/>
      <c r="G16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5387-DA16-4F73-A97C-38B09EAE6A43}">
  <dimension ref="B1:Q18"/>
  <sheetViews>
    <sheetView showGridLines="0" zoomScaleNormal="100" workbookViewId="0">
      <selection activeCell="H16" sqref="H16"/>
    </sheetView>
  </sheetViews>
  <sheetFormatPr defaultRowHeight="14.45"/>
  <cols>
    <col min="1" max="1" width="3.7109375" customWidth="1"/>
    <col min="2" max="2" width="18.5703125" customWidth="1"/>
    <col min="3" max="6" width="13.42578125" customWidth="1"/>
    <col min="7" max="7" width="15" customWidth="1"/>
    <col min="8" max="8" width="14.28515625" customWidth="1"/>
    <col min="9" max="10" width="13.42578125" customWidth="1"/>
    <col min="11" max="13" width="2.28515625" customWidth="1"/>
    <col min="14" max="14" width="14.28515625" customWidth="1"/>
    <col min="15" max="15" width="2.28515625" customWidth="1"/>
    <col min="16" max="16" width="18.5703125" customWidth="1"/>
    <col min="17" max="17" width="2.28515625" customWidth="1"/>
  </cols>
  <sheetData>
    <row r="1" spans="2:17" s="24" customFormat="1" ht="60" customHeight="1">
      <c r="F1" s="32" t="s">
        <v>139</v>
      </c>
    </row>
    <row r="2" spans="2:17" s="27" customFormat="1" ht="6" customHeight="1">
      <c r="F2" s="28"/>
    </row>
    <row r="5" spans="2:17" s="11" customFormat="1" ht="28.9">
      <c r="B5" s="34" t="s">
        <v>40</v>
      </c>
      <c r="C5" s="34" t="s">
        <v>48</v>
      </c>
      <c r="D5" s="34" t="s">
        <v>140</v>
      </c>
      <c r="E5" s="34" t="s">
        <v>141</v>
      </c>
      <c r="F5" s="34" t="s">
        <v>96</v>
      </c>
      <c r="G5" s="34" t="s">
        <v>142</v>
      </c>
      <c r="H5" s="34" t="s">
        <v>138</v>
      </c>
      <c r="I5" s="34" t="s">
        <v>143</v>
      </c>
      <c r="J5" s="34" t="s">
        <v>144</v>
      </c>
    </row>
    <row r="6" spans="2:17">
      <c r="B6" t="s">
        <v>26</v>
      </c>
      <c r="C6" s="104">
        <f>IFERROR(SUMIF(TB_Entradas[Código Produto],TB_ControleEstoque[[#This Row],[Produto]],TB_Entradas[Quantidade Comprada]),0)</f>
        <v>0</v>
      </c>
      <c r="D6" s="104">
        <f>IFERROR(SUMIF(#REF!,TB_ControleEstoque[[#This Row],[Produto]],TB_Saídas[Quantidade Vendida]),0)</f>
        <v>0</v>
      </c>
      <c r="E6" s="104">
        <f>TB_ControleEstoque[[#This Row],[Entradas]]-TB_ControleEstoque[[#This Row],[Saídas ]]</f>
        <v>0</v>
      </c>
      <c r="F6" s="104">
        <f>_xlfn.XLOOKUP(TB_ControleEstoque[[#This Row],[Produto]],TB_Produtos[Produto],TB_Produtos[Estoque Mínimo],"Erro",0,1)</f>
        <v>10</v>
      </c>
      <c r="G6" t="str" cm="1">
        <f t="array" ref="G6">_xlfn.IFS(TB_ControleEstoque[[#This Row],[Saldo em Estoque]]&gt;TB_ControleEstoque[[#This Row],[Estoque Mínimo]],"Estoque OK",TB_ControleEstoque[[#This Row],[Saldo em Estoque]]=0,"Estoque Zerado",1,"Repor Estoque")</f>
        <v>Estoque Zerado</v>
      </c>
      <c r="H6" s="12" t="e">
        <f>SUMIFS(#REF!,#REF!,TB_ControleEstoque[[#This Row],[Produto]])</f>
        <v>#REF!</v>
      </c>
      <c r="I6" s="10" t="e">
        <f>SUMIFS(#REF!,TB_Entradas[Código Produto],TB_ControleEstoque[[#This Row],[Produto]])</f>
        <v>#REF!</v>
      </c>
      <c r="J6" s="10" t="e">
        <f>TB_ControleEstoque[[#This Row],[Valor de Venda]]-TB_ControleEstoque[[#This Row],[Custo Total]]</f>
        <v>#REF!</v>
      </c>
      <c r="M6" s="48"/>
      <c r="N6" s="48"/>
      <c r="O6" s="48"/>
      <c r="P6" s="48"/>
      <c r="Q6" s="48"/>
    </row>
    <row r="7" spans="2:17" ht="18">
      <c r="B7" t="s">
        <v>10</v>
      </c>
      <c r="C7" s="104">
        <f>IFERROR(SUMIF(TB_Entradas[Código Produto],TB_ControleEstoque[[#This Row],[Produto]],TB_Entradas[Quantidade Comprada]),0)</f>
        <v>0</v>
      </c>
      <c r="D7" s="104">
        <f>IFERROR(SUMIF(#REF!,TB_ControleEstoque[[#This Row],[Produto]],TB_Saídas[Quantidade Vendida]),0)</f>
        <v>0</v>
      </c>
      <c r="E7" s="104">
        <f>TB_ControleEstoque[[#This Row],[Entradas]]-TB_ControleEstoque[[#This Row],[Saídas ]]</f>
        <v>0</v>
      </c>
      <c r="F7" s="104">
        <f>_xlfn.XLOOKUP(TB_ControleEstoque[[#This Row],[Produto]],TB_Produtos[Produto],TB_Produtos[Estoque Mínimo],"Erro",0,1)</f>
        <v>50</v>
      </c>
      <c r="G7" t="str" cm="1">
        <f t="array" ref="G7">_xlfn.IFS(TB_ControleEstoque[[#This Row],[Saldo em Estoque]]&gt;TB_ControleEstoque[[#This Row],[Estoque Mínimo]],"Estoque OK",TB_ControleEstoque[[#This Row],[Saldo em Estoque]]=0,"Estoque Zerado",1,"Repor Estoque")</f>
        <v>Estoque Zerado</v>
      </c>
      <c r="H7" s="12" t="e">
        <f>SUMIFS(#REF!,#REF!,TB_ControleEstoque[[#This Row],[Produto]])</f>
        <v>#REF!</v>
      </c>
      <c r="I7" s="10" t="e">
        <f>SUMIFS(#REF!,TB_Entradas[Código Produto],TB_ControleEstoque[[#This Row],[Produto]])</f>
        <v>#REF!</v>
      </c>
      <c r="J7" s="10" t="e">
        <f>TB_ControleEstoque[[#This Row],[Valor de Venda]]-TB_ControleEstoque[[#This Row],[Custo Total]]</f>
        <v>#REF!</v>
      </c>
      <c r="L7" s="70"/>
      <c r="M7" s="48"/>
      <c r="N7" s="219" t="s">
        <v>145</v>
      </c>
      <c r="O7" s="219"/>
      <c r="P7" s="219"/>
      <c r="Q7" s="48"/>
    </row>
    <row r="8" spans="2:17" ht="16.149999999999999">
      <c r="B8" t="s">
        <v>66</v>
      </c>
      <c r="C8" s="104">
        <f>IFERROR(SUMIF(TB_Entradas[Código Produto],TB_ControleEstoque[[#This Row],[Produto]],TB_Entradas[Quantidade Comprada]),0)</f>
        <v>0</v>
      </c>
      <c r="D8" s="104">
        <f>IFERROR(SUMIF(#REF!,TB_ControleEstoque[[#This Row],[Produto]],TB_Saídas[Quantidade Vendida]),0)</f>
        <v>0</v>
      </c>
      <c r="E8" s="104">
        <f>TB_ControleEstoque[[#This Row],[Entradas]]-TB_ControleEstoque[[#This Row],[Saídas ]]</f>
        <v>0</v>
      </c>
      <c r="F8" s="104">
        <f>_xlfn.XLOOKUP(TB_ControleEstoque[[#This Row],[Produto]],TB_Produtos[Produto],TB_Produtos[Estoque Mínimo],"Erro",0,1)</f>
        <v>5</v>
      </c>
      <c r="G8" t="str" cm="1">
        <f t="array" ref="G8">_xlfn.IFS(TB_ControleEstoque[[#This Row],[Saldo em Estoque]]&gt;TB_ControleEstoque[[#This Row],[Estoque Mínimo]],"Estoque OK",TB_ControleEstoque[[#This Row],[Saldo em Estoque]]=0,"Estoque Zerado",1,"Repor Estoque")</f>
        <v>Estoque Zerado</v>
      </c>
      <c r="H8" s="12" t="e">
        <f>SUMIFS(#REF!,#REF!,TB_ControleEstoque[[#This Row],[Produto]])</f>
        <v>#REF!</v>
      </c>
      <c r="I8" s="10" t="e">
        <f>SUMIFS(#REF!,TB_Entradas[Código Produto],TB_ControleEstoque[[#This Row],[Produto]])</f>
        <v>#REF!</v>
      </c>
      <c r="J8" s="10" t="e">
        <f>TB_ControleEstoque[[#This Row],[Valor de Venda]]-TB_ControleEstoque[[#This Row],[Custo Total]]</f>
        <v>#REF!</v>
      </c>
      <c r="L8" s="70"/>
      <c r="M8" s="48"/>
      <c r="N8" s="72" t="s">
        <v>144</v>
      </c>
      <c r="O8" s="71"/>
      <c r="P8" s="72" t="s">
        <v>40</v>
      </c>
      <c r="Q8" s="48"/>
    </row>
    <row r="9" spans="2:17">
      <c r="B9" t="s">
        <v>62</v>
      </c>
      <c r="C9" s="104">
        <f>IFERROR(SUMIF(TB_Entradas[Código Produto],TB_ControleEstoque[[#This Row],[Produto]],TB_Entradas[Quantidade Comprada]),0)</f>
        <v>0</v>
      </c>
      <c r="D9" s="104">
        <f>IFERROR(SUMIF(#REF!,TB_ControleEstoque[[#This Row],[Produto]],TB_Saídas[Quantidade Vendida]),0)</f>
        <v>0</v>
      </c>
      <c r="E9" s="104">
        <f>TB_ControleEstoque[[#This Row],[Entradas]]-TB_ControleEstoque[[#This Row],[Saídas ]]</f>
        <v>0</v>
      </c>
      <c r="F9" s="104">
        <f>_xlfn.XLOOKUP(TB_ControleEstoque[[#This Row],[Produto]],TB_Produtos[Produto],TB_Produtos[Estoque Mínimo],"Erro",0,1)</f>
        <v>5</v>
      </c>
      <c r="G9" t="str" cm="1">
        <f t="array" ref="G9">_xlfn.IFS(TB_ControleEstoque[[#This Row],[Saldo em Estoque]]&gt;TB_ControleEstoque[[#This Row],[Estoque Mínimo]],"Estoque OK",TB_ControleEstoque[[#This Row],[Saldo em Estoque]]=0,"Estoque Zerado",1,"Repor Estoque")</f>
        <v>Estoque Zerado</v>
      </c>
      <c r="H9" s="12" t="e">
        <f>SUMIFS(#REF!,#REF!,TB_ControleEstoque[[#This Row],[Produto]])</f>
        <v>#REF!</v>
      </c>
      <c r="I9" s="10" t="e">
        <f>SUMIFS(#REF!,TB_Entradas[Código Produto],TB_ControleEstoque[[#This Row],[Produto]])</f>
        <v>#REF!</v>
      </c>
      <c r="J9" s="10" t="e">
        <f>TB_ControleEstoque[[#This Row],[Valor de Venda]]-TB_ControleEstoque[[#This Row],[Custo Total]]</f>
        <v>#REF!</v>
      </c>
      <c r="L9" s="70"/>
      <c r="M9" s="48"/>
      <c r="N9" s="220" t="e">
        <f>LARGE(TB_ControleEstoque[Lucro],1)</f>
        <v>#REF!</v>
      </c>
      <c r="O9" s="48"/>
      <c r="P9" s="222" t="e">
        <f>DGET(TB_ControleEstoque[#All],1,N8:N9)</f>
        <v>#NUM!</v>
      </c>
      <c r="Q9" s="48"/>
    </row>
    <row r="10" spans="2:17">
      <c r="B10" t="s">
        <v>21</v>
      </c>
      <c r="C10" s="104">
        <f>IFERROR(SUMIF(TB_Entradas[Código Produto],TB_ControleEstoque[[#This Row],[Produto]],TB_Entradas[Quantidade Comprada]),0)</f>
        <v>0</v>
      </c>
      <c r="D10" s="104">
        <f>IFERROR(SUMIF(#REF!,TB_ControleEstoque[[#This Row],[Produto]],TB_Saídas[Quantidade Vendida]),0)</f>
        <v>0</v>
      </c>
      <c r="E10" s="104">
        <f>TB_ControleEstoque[[#This Row],[Entradas]]-TB_ControleEstoque[[#This Row],[Saídas ]]</f>
        <v>0</v>
      </c>
      <c r="F10" s="104">
        <f>_xlfn.XLOOKUP(TB_ControleEstoque[[#This Row],[Produto]],TB_Produtos[Produto],TB_Produtos[Estoque Mínimo],"Erro",0,1)</f>
        <v>10</v>
      </c>
      <c r="G10" t="str" cm="1">
        <f t="array" ref="G10">_xlfn.IFS(TB_ControleEstoque[[#This Row],[Saldo em Estoque]]&gt;TB_ControleEstoque[[#This Row],[Estoque Mínimo]],"Estoque OK",TB_ControleEstoque[[#This Row],[Saldo em Estoque]]=0,"Estoque Zerado",1,"Repor Estoque")</f>
        <v>Estoque Zerado</v>
      </c>
      <c r="H10" s="12" t="e">
        <f>SUMIFS(#REF!,#REF!,TB_ControleEstoque[[#This Row],[Produto]])</f>
        <v>#REF!</v>
      </c>
      <c r="I10" s="10" t="e">
        <f>SUMIFS(#REF!,TB_Entradas[Código Produto],TB_ControleEstoque[[#This Row],[Produto]])</f>
        <v>#REF!</v>
      </c>
      <c r="J10" s="10" t="e">
        <f>TB_ControleEstoque[[#This Row],[Valor de Venda]]-TB_ControleEstoque[[#This Row],[Custo Total]]</f>
        <v>#REF!</v>
      </c>
      <c r="L10" s="70"/>
      <c r="M10" s="48"/>
      <c r="N10" s="221"/>
      <c r="O10" s="48"/>
      <c r="P10" s="223"/>
      <c r="Q10" s="48"/>
    </row>
    <row r="11" spans="2:17">
      <c r="B11" t="s">
        <v>23</v>
      </c>
      <c r="C11" s="104">
        <f>IFERROR(SUMIF(TB_Entradas[Código Produto],TB_ControleEstoque[[#This Row],[Produto]],TB_Entradas[Quantidade Comprada]),0)</f>
        <v>0</v>
      </c>
      <c r="D11" s="104">
        <f>IFERROR(SUMIF(#REF!,TB_ControleEstoque[[#This Row],[Produto]],TB_Saídas[Quantidade Vendida]),0)</f>
        <v>0</v>
      </c>
      <c r="E11" s="104">
        <f>TB_ControleEstoque[[#This Row],[Entradas]]-TB_ControleEstoque[[#This Row],[Saídas ]]</f>
        <v>0</v>
      </c>
      <c r="F11" s="104">
        <f>_xlfn.XLOOKUP(TB_ControleEstoque[[#This Row],[Produto]],TB_Produtos[Produto],TB_Produtos[Estoque Mínimo],"Erro",0,1)</f>
        <v>10</v>
      </c>
      <c r="G11" t="str" cm="1">
        <f t="array" ref="G11">_xlfn.IFS(TB_ControleEstoque[[#This Row],[Saldo em Estoque]]&gt;TB_ControleEstoque[[#This Row],[Estoque Mínimo]],"Estoque OK",TB_ControleEstoque[[#This Row],[Saldo em Estoque]]=0,"Estoque Zerado",1,"Repor Estoque")</f>
        <v>Estoque Zerado</v>
      </c>
      <c r="H11" s="12" t="e">
        <f>SUMIFS(#REF!,#REF!,TB_ControleEstoque[[#This Row],[Produto]])</f>
        <v>#REF!</v>
      </c>
      <c r="I11" s="10" t="e">
        <f>SUMIFS(#REF!,TB_Entradas[Código Produto],TB_ControleEstoque[[#This Row],[Produto]])</f>
        <v>#REF!</v>
      </c>
      <c r="J11" s="10" t="e">
        <f>TB_ControleEstoque[[#This Row],[Valor de Venda]]-TB_ControleEstoque[[#This Row],[Custo Total]]</f>
        <v>#REF!</v>
      </c>
      <c r="L11" s="70"/>
      <c r="M11" s="48"/>
      <c r="N11" s="48"/>
      <c r="O11" s="48"/>
      <c r="P11" s="48"/>
      <c r="Q11" s="48"/>
    </row>
    <row r="12" spans="2:17">
      <c r="B12" t="s">
        <v>25</v>
      </c>
      <c r="C12" s="104">
        <f>IFERROR(SUMIF(TB_Entradas[Código Produto],TB_ControleEstoque[[#This Row],[Produto]],TB_Entradas[Quantidade Comprada]),0)</f>
        <v>0</v>
      </c>
      <c r="D12" s="104">
        <f>IFERROR(SUMIF(#REF!,TB_ControleEstoque[[#This Row],[Produto]],TB_Saídas[Quantidade Vendida]),0)</f>
        <v>0</v>
      </c>
      <c r="E12" s="104">
        <f>TB_ControleEstoque[[#This Row],[Entradas]]-TB_ControleEstoque[[#This Row],[Saídas ]]</f>
        <v>0</v>
      </c>
      <c r="F12" s="104">
        <f>_xlfn.XLOOKUP(TB_ControleEstoque[[#This Row],[Produto]],TB_Produtos[Produto],TB_Produtos[Estoque Mínimo],"Erro",0,1)</f>
        <v>50</v>
      </c>
      <c r="G12" t="str" cm="1">
        <f t="array" ref="G12">_xlfn.IFS(TB_ControleEstoque[[#This Row],[Saldo em Estoque]]&gt;TB_ControleEstoque[[#This Row],[Estoque Mínimo]],"Estoque OK",TB_ControleEstoque[[#This Row],[Saldo em Estoque]]=0,"Estoque Zerado",1,"Repor Estoque")</f>
        <v>Estoque Zerado</v>
      </c>
      <c r="H12" s="12" t="e">
        <f>SUMIFS(#REF!,#REF!,TB_ControleEstoque[[#This Row],[Produto]])</f>
        <v>#REF!</v>
      </c>
      <c r="I12" s="10" t="e">
        <f>SUMIFS(#REF!,TB_Entradas[Código Produto],TB_ControleEstoque[[#This Row],[Produto]])</f>
        <v>#REF!</v>
      </c>
      <c r="J12" s="10" t="e">
        <f>TB_ControleEstoque[[#This Row],[Valor de Venda]]-TB_ControleEstoque[[#This Row],[Custo Total]]</f>
        <v>#REF!</v>
      </c>
      <c r="L12" s="70"/>
      <c r="M12" s="70"/>
      <c r="N12" s="70"/>
      <c r="O12" s="70"/>
      <c r="P12" s="70"/>
    </row>
    <row r="13" spans="2:17">
      <c r="B13" t="s">
        <v>63</v>
      </c>
      <c r="C13" s="104">
        <f>IFERROR(SUMIF(TB_Entradas[Código Produto],TB_ControleEstoque[[#This Row],[Produto]],TB_Entradas[Quantidade Comprada]),0)</f>
        <v>0</v>
      </c>
      <c r="D13" s="104">
        <f>IFERROR(SUMIF(#REF!,TB_ControleEstoque[[#This Row],[Produto]],TB_Saídas[Quantidade Vendida]),0)</f>
        <v>0</v>
      </c>
      <c r="E13" s="104">
        <f>TB_ControleEstoque[[#This Row],[Entradas]]-TB_ControleEstoque[[#This Row],[Saídas ]]</f>
        <v>0</v>
      </c>
      <c r="F13" s="104">
        <f>_xlfn.XLOOKUP(TB_ControleEstoque[[#This Row],[Produto]],TB_Produtos[Produto],TB_Produtos[Estoque Mínimo],"Erro",0,1)</f>
        <v>2</v>
      </c>
      <c r="G13" t="str" cm="1">
        <f t="array" ref="G13">_xlfn.IFS(TB_ControleEstoque[[#This Row],[Saldo em Estoque]]&gt;TB_ControleEstoque[[#This Row],[Estoque Mínimo]],"Estoque OK",TB_ControleEstoque[[#This Row],[Saldo em Estoque]]=0,"Estoque Zerado",1,"Repor Estoque")</f>
        <v>Estoque Zerado</v>
      </c>
      <c r="H13" s="12" t="e">
        <f>SUMIFS(#REF!,#REF!,TB_ControleEstoque[[#This Row],[Produto]])</f>
        <v>#REF!</v>
      </c>
      <c r="I13" s="10" t="e">
        <f>SUMIFS(#REF!,TB_Entradas[Código Produto],TB_ControleEstoque[[#This Row],[Produto]])</f>
        <v>#REF!</v>
      </c>
      <c r="J13" s="10" t="e">
        <f>TB_ControleEstoque[[#This Row],[Valor de Venda]]-TB_ControleEstoque[[#This Row],[Custo Total]]</f>
        <v>#REF!</v>
      </c>
    </row>
    <row r="14" spans="2:17">
      <c r="B14" t="s">
        <v>65</v>
      </c>
      <c r="C14" s="104">
        <f>IFERROR(SUMIF(TB_Entradas[Código Produto],TB_ControleEstoque[[#This Row],[Produto]],TB_Entradas[Quantidade Comprada]),0)</f>
        <v>0</v>
      </c>
      <c r="D14" s="104">
        <f>IFERROR(SUMIF(#REF!,TB_ControleEstoque[[#This Row],[Produto]],TB_Saídas[Quantidade Vendida]),0)</f>
        <v>0</v>
      </c>
      <c r="E14" s="104">
        <f>TB_ControleEstoque[[#This Row],[Entradas]]-TB_ControleEstoque[[#This Row],[Saídas ]]</f>
        <v>0</v>
      </c>
      <c r="F14" s="104">
        <f>_xlfn.XLOOKUP(TB_ControleEstoque[[#This Row],[Produto]],TB_Produtos[Produto],TB_Produtos[Estoque Mínimo],"Erro",0,1)</f>
        <v>10</v>
      </c>
      <c r="G14" t="str" cm="1">
        <f t="array" ref="G14">_xlfn.IFS(TB_ControleEstoque[[#This Row],[Saldo em Estoque]]&gt;TB_ControleEstoque[[#This Row],[Estoque Mínimo]],"Estoque OK",TB_ControleEstoque[[#This Row],[Saldo em Estoque]]=0,"Estoque Zerado",1,"Repor Estoque")</f>
        <v>Estoque Zerado</v>
      </c>
      <c r="H14" s="12" t="e">
        <f>SUMIFS(#REF!,#REF!,TB_ControleEstoque[[#This Row],[Produto]])</f>
        <v>#REF!</v>
      </c>
      <c r="I14" s="10" t="e">
        <f>SUMIFS(#REF!,TB_Entradas[Código Produto],TB_ControleEstoque[[#This Row],[Produto]])</f>
        <v>#REF!</v>
      </c>
      <c r="J14" s="10" t="e">
        <f>TB_ControleEstoque[[#This Row],[Valor de Venda]]-TB_ControleEstoque[[#This Row],[Custo Total]]</f>
        <v>#REF!</v>
      </c>
    </row>
    <row r="15" spans="2:17">
      <c r="B15" t="s">
        <v>64</v>
      </c>
      <c r="C15" s="104">
        <f>IFERROR(SUMIF(TB_Entradas[Código Produto],TB_ControleEstoque[[#This Row],[Produto]],TB_Entradas[Quantidade Comprada]),0)</f>
        <v>0</v>
      </c>
      <c r="D15" s="104">
        <f>IFERROR(SUMIF(#REF!,TB_ControleEstoque[[#This Row],[Produto]],TB_Saídas[Quantidade Vendida]),0)</f>
        <v>0</v>
      </c>
      <c r="E15" s="104">
        <f>TB_ControleEstoque[[#This Row],[Entradas]]-TB_ControleEstoque[[#This Row],[Saídas ]]</f>
        <v>0</v>
      </c>
      <c r="F15" s="104">
        <f>_xlfn.XLOOKUP(TB_ControleEstoque[[#This Row],[Produto]],TB_Produtos[Produto],TB_Produtos[Estoque Mínimo],"Erro",0,1)</f>
        <v>2</v>
      </c>
      <c r="G15" t="str" cm="1">
        <f t="array" ref="G15">_xlfn.IFS(TB_ControleEstoque[[#This Row],[Saldo em Estoque]]&gt;TB_ControleEstoque[[#This Row],[Estoque Mínimo]],"Estoque OK",TB_ControleEstoque[[#This Row],[Saldo em Estoque]]=0,"Estoque Zerado",1,"Repor Estoque")</f>
        <v>Estoque Zerado</v>
      </c>
      <c r="H15" s="12" t="e">
        <f>SUMIFS(#REF!,#REF!,TB_ControleEstoque[[#This Row],[Produto]])</f>
        <v>#REF!</v>
      </c>
      <c r="I15" s="10" t="e">
        <f>SUMIFS(#REF!,TB_Entradas[Código Produto],TB_ControleEstoque[[#This Row],[Produto]])</f>
        <v>#REF!</v>
      </c>
      <c r="J15" s="10" t="e">
        <f>TB_ControleEstoque[[#This Row],[Valor de Venda]]-TB_ControleEstoque[[#This Row],[Custo Total]]</f>
        <v>#REF!</v>
      </c>
    </row>
    <row r="18" spans="10:10">
      <c r="J18" s="13"/>
    </row>
  </sheetData>
  <mergeCells count="3">
    <mergeCell ref="N7:P7"/>
    <mergeCell ref="N9:N10"/>
    <mergeCell ref="P9:P10"/>
  </mergeCells>
  <conditionalFormatting sqref="B6:J15">
    <cfRule type="expression" dxfId="10" priority="1">
      <formula>$G6="Estoque Zerado"</formula>
    </cfRule>
    <cfRule type="expression" dxfId="9" priority="2">
      <formula>$G6="Repor Estoque"</formula>
    </cfRule>
  </conditionalFormatting>
  <dataValidations count="1">
    <dataValidation type="list" allowBlank="1" showInputMessage="1" showErrorMessage="1" sqref="B6:B15" xr:uid="{8AC61758-FD11-40E3-B22B-102EEFB58504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9B9-606D-4025-9A41-1FF8DB47ECE5}">
  <dimension ref="B1:AU26"/>
  <sheetViews>
    <sheetView showGridLines="0" zoomScaleNormal="100" workbookViewId="0">
      <selection activeCell="Y18" sqref="Y18"/>
    </sheetView>
  </sheetViews>
  <sheetFormatPr defaultColWidth="2.42578125" defaultRowHeight="10.5" customHeight="1"/>
  <sheetData>
    <row r="1" spans="2:47" s="24" customFormat="1" ht="60" customHeight="1">
      <c r="AD1" s="32" t="s">
        <v>146</v>
      </c>
    </row>
    <row r="2" spans="2:47" s="27" customFormat="1" ht="6" customHeight="1">
      <c r="F2" s="28"/>
    </row>
    <row r="3" spans="2:47" ht="6" customHeight="1"/>
    <row r="4" spans="2:47" ht="4.5" customHeight="1" thickBot="1"/>
    <row r="5" spans="2:47" ht="10.5" customHeight="1">
      <c r="C5" s="254" t="s">
        <v>147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6"/>
      <c r="AB5" s="254" t="s">
        <v>148</v>
      </c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6"/>
    </row>
    <row r="6" spans="2:47" ht="10.5" customHeight="1">
      <c r="B6" s="70"/>
      <c r="C6" s="257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9"/>
      <c r="AA6" s="70"/>
      <c r="AB6" s="257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9"/>
    </row>
    <row r="7" spans="2:47" ht="10.5" customHeight="1">
      <c r="B7" s="70"/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1"/>
      <c r="AA7" s="70"/>
      <c r="AB7" s="59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260" t="s">
        <v>40</v>
      </c>
      <c r="AN7" s="260"/>
      <c r="AO7" s="260"/>
      <c r="AP7" s="260"/>
      <c r="AQ7" s="260"/>
      <c r="AR7" s="260"/>
      <c r="AS7" s="260"/>
      <c r="AT7" s="260"/>
      <c r="AU7" s="61"/>
    </row>
    <row r="8" spans="2:47" ht="10.5" customHeight="1">
      <c r="B8" s="70"/>
      <c r="C8" s="62"/>
      <c r="D8" s="224" t="s">
        <v>149</v>
      </c>
      <c r="E8" s="224"/>
      <c r="F8" s="224"/>
      <c r="G8" s="224"/>
      <c r="H8" s="224"/>
      <c r="I8" s="224"/>
      <c r="J8" s="224"/>
      <c r="K8" s="224"/>
      <c r="L8" s="224"/>
      <c r="M8" s="224"/>
      <c r="N8" s="225">
        <f>COUNTA(_xlfn.UNIQUE(#REF!))</f>
        <v>1</v>
      </c>
      <c r="O8" s="225"/>
      <c r="P8" s="225"/>
      <c r="Q8" s="225"/>
      <c r="R8" s="225"/>
      <c r="S8" s="225"/>
      <c r="T8" s="225"/>
      <c r="U8" s="225"/>
      <c r="V8" s="67"/>
      <c r="AA8" s="70"/>
      <c r="AB8" s="62"/>
      <c r="AC8" s="228" t="s">
        <v>150</v>
      </c>
      <c r="AD8" s="228"/>
      <c r="AE8" s="228"/>
      <c r="AF8" s="228"/>
      <c r="AG8" s="228"/>
      <c r="AH8" s="228"/>
      <c r="AI8" s="228"/>
      <c r="AJ8" s="228"/>
      <c r="AK8" s="228"/>
      <c r="AL8" s="229"/>
      <c r="AM8" s="242" t="s">
        <v>10</v>
      </c>
      <c r="AN8" s="243"/>
      <c r="AO8" s="243"/>
      <c r="AP8" s="243"/>
      <c r="AQ8" s="243"/>
      <c r="AR8" s="243"/>
      <c r="AS8" s="243"/>
      <c r="AT8" s="244"/>
      <c r="AU8" s="67"/>
    </row>
    <row r="9" spans="2:47" ht="10.5" customHeight="1">
      <c r="B9" s="70"/>
      <c r="C9" s="62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5"/>
      <c r="O9" s="225"/>
      <c r="P9" s="225"/>
      <c r="Q9" s="225"/>
      <c r="R9" s="225"/>
      <c r="S9" s="225"/>
      <c r="T9" s="225"/>
      <c r="U9" s="225"/>
      <c r="V9" s="67"/>
      <c r="AA9" s="70"/>
      <c r="AB9" s="62"/>
      <c r="AC9" s="228"/>
      <c r="AD9" s="228"/>
      <c r="AE9" s="228"/>
      <c r="AF9" s="228"/>
      <c r="AG9" s="228"/>
      <c r="AH9" s="228"/>
      <c r="AI9" s="228"/>
      <c r="AJ9" s="228"/>
      <c r="AK9" s="228"/>
      <c r="AL9" s="229"/>
      <c r="AM9" s="245"/>
      <c r="AN9" s="246"/>
      <c r="AO9" s="246"/>
      <c r="AP9" s="246"/>
      <c r="AQ9" s="246"/>
      <c r="AR9" s="246"/>
      <c r="AS9" s="246"/>
      <c r="AT9" s="247"/>
      <c r="AU9" s="67"/>
    </row>
    <row r="10" spans="2:47" ht="10.5" customHeight="1">
      <c r="B10" s="70"/>
      <c r="C10" s="6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6"/>
      <c r="O10" s="66"/>
      <c r="P10" s="66"/>
      <c r="Q10" s="66"/>
      <c r="R10" s="66"/>
      <c r="S10" s="66"/>
      <c r="T10" s="66"/>
      <c r="U10" s="66"/>
      <c r="V10" s="67"/>
      <c r="AA10" s="70"/>
      <c r="AB10" s="62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67"/>
    </row>
    <row r="11" spans="2:47" ht="10.5" customHeight="1">
      <c r="B11" s="70"/>
      <c r="C11" s="62"/>
      <c r="D11" s="224" t="s">
        <v>151</v>
      </c>
      <c r="E11" s="224"/>
      <c r="F11" s="224"/>
      <c r="G11" s="224"/>
      <c r="H11" s="224"/>
      <c r="I11" s="224"/>
      <c r="J11" s="224"/>
      <c r="K11" s="224"/>
      <c r="L11" s="224"/>
      <c r="M11" s="224"/>
      <c r="N11" s="225">
        <f>SUM(TB_ControleEstoque[Saldo em Estoque])</f>
        <v>0</v>
      </c>
      <c r="O11" s="225"/>
      <c r="P11" s="225"/>
      <c r="Q11" s="225"/>
      <c r="R11" s="225"/>
      <c r="S11" s="225"/>
      <c r="T11" s="225"/>
      <c r="U11" s="225"/>
      <c r="V11" s="67"/>
      <c r="AA11" s="70"/>
      <c r="AB11" s="62"/>
      <c r="AC11" s="228" t="s">
        <v>151</v>
      </c>
      <c r="AD11" s="228"/>
      <c r="AE11" s="228"/>
      <c r="AF11" s="228"/>
      <c r="AG11" s="228"/>
      <c r="AH11" s="228"/>
      <c r="AI11" s="228"/>
      <c r="AJ11" s="228"/>
      <c r="AK11" s="228"/>
      <c r="AL11" s="229"/>
      <c r="AM11" s="248">
        <f>DSUM(TB_ControleEstoque[#All],TB_ControleEstoque[[#Headers],[Saldo em Estoque]],CriteriosConsultaProduto)</f>
        <v>0</v>
      </c>
      <c r="AN11" s="231"/>
      <c r="AO11" s="231"/>
      <c r="AP11" s="231"/>
      <c r="AQ11" s="231"/>
      <c r="AR11" s="231"/>
      <c r="AS11" s="231"/>
      <c r="AT11" s="232"/>
      <c r="AU11" s="67"/>
    </row>
    <row r="12" spans="2:47" ht="10.5" customHeight="1">
      <c r="B12" s="70"/>
      <c r="C12" s="62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5"/>
      <c r="O12" s="225"/>
      <c r="P12" s="225"/>
      <c r="Q12" s="225"/>
      <c r="R12" s="225"/>
      <c r="S12" s="225"/>
      <c r="T12" s="225"/>
      <c r="U12" s="225"/>
      <c r="V12" s="67"/>
      <c r="AA12" s="70"/>
      <c r="AB12" s="62"/>
      <c r="AC12" s="228"/>
      <c r="AD12" s="228"/>
      <c r="AE12" s="228"/>
      <c r="AF12" s="228"/>
      <c r="AG12" s="228"/>
      <c r="AH12" s="228"/>
      <c r="AI12" s="228"/>
      <c r="AJ12" s="228"/>
      <c r="AK12" s="228"/>
      <c r="AL12" s="229"/>
      <c r="AM12" s="233"/>
      <c r="AN12" s="234"/>
      <c r="AO12" s="234"/>
      <c r="AP12" s="234"/>
      <c r="AQ12" s="234"/>
      <c r="AR12" s="234"/>
      <c r="AS12" s="234"/>
      <c r="AT12" s="235"/>
      <c r="AU12" s="67"/>
    </row>
    <row r="13" spans="2:47" ht="10.5" customHeight="1">
      <c r="B13" s="70"/>
      <c r="C13" s="6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8"/>
      <c r="O13" s="68"/>
      <c r="P13" s="68"/>
      <c r="Q13" s="68"/>
      <c r="R13" s="68"/>
      <c r="S13" s="68"/>
      <c r="T13" s="68"/>
      <c r="U13" s="68"/>
      <c r="V13" s="67"/>
      <c r="AA13" s="70"/>
      <c r="AB13" s="62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67"/>
    </row>
    <row r="14" spans="2:47" ht="10.5" customHeight="1">
      <c r="B14" s="70"/>
      <c r="C14" s="62"/>
      <c r="D14" s="224" t="s">
        <v>152</v>
      </c>
      <c r="E14" s="224"/>
      <c r="F14" s="224"/>
      <c r="G14" s="224"/>
      <c r="H14" s="224"/>
      <c r="I14" s="224"/>
      <c r="J14" s="224"/>
      <c r="K14" s="224"/>
      <c r="L14" s="224"/>
      <c r="M14" s="224"/>
      <c r="N14" s="226" t="e">
        <f>SUM(#REF!)</f>
        <v>#REF!</v>
      </c>
      <c r="O14" s="226"/>
      <c r="P14" s="226"/>
      <c r="Q14" s="226"/>
      <c r="R14" s="226"/>
      <c r="S14" s="226"/>
      <c r="T14" s="226"/>
      <c r="U14" s="226"/>
      <c r="V14" s="67"/>
      <c r="AA14" s="70"/>
      <c r="AB14" s="62"/>
      <c r="AC14" s="228" t="s">
        <v>152</v>
      </c>
      <c r="AD14" s="228"/>
      <c r="AE14" s="228"/>
      <c r="AF14" s="228"/>
      <c r="AG14" s="228"/>
      <c r="AH14" s="228"/>
      <c r="AI14" s="228"/>
      <c r="AJ14" s="228"/>
      <c r="AK14" s="228"/>
      <c r="AL14" s="229"/>
      <c r="AM14" s="230" t="e">
        <f>DSUM(TB_Saídas[#All],#REF!,CriteriosConsultaProduto)</f>
        <v>#REF!</v>
      </c>
      <c r="AN14" s="249"/>
      <c r="AO14" s="249"/>
      <c r="AP14" s="249"/>
      <c r="AQ14" s="249"/>
      <c r="AR14" s="249"/>
      <c r="AS14" s="249"/>
      <c r="AT14" s="250"/>
      <c r="AU14" s="67"/>
    </row>
    <row r="15" spans="2:47" ht="10.5" customHeight="1">
      <c r="B15" s="70"/>
      <c r="C15" s="62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6"/>
      <c r="O15" s="226"/>
      <c r="P15" s="226"/>
      <c r="Q15" s="226"/>
      <c r="R15" s="226"/>
      <c r="S15" s="226"/>
      <c r="T15" s="226"/>
      <c r="U15" s="226"/>
      <c r="V15" s="67"/>
      <c r="AA15" s="70"/>
      <c r="AB15" s="62"/>
      <c r="AC15" s="228"/>
      <c r="AD15" s="228"/>
      <c r="AE15" s="228"/>
      <c r="AF15" s="228"/>
      <c r="AG15" s="228"/>
      <c r="AH15" s="228"/>
      <c r="AI15" s="228"/>
      <c r="AJ15" s="228"/>
      <c r="AK15" s="228"/>
      <c r="AL15" s="229"/>
      <c r="AM15" s="251"/>
      <c r="AN15" s="252"/>
      <c r="AO15" s="252"/>
      <c r="AP15" s="252"/>
      <c r="AQ15" s="252"/>
      <c r="AR15" s="252"/>
      <c r="AS15" s="252"/>
      <c r="AT15" s="253"/>
      <c r="AU15" s="67"/>
    </row>
    <row r="16" spans="2:47" ht="10.5" customHeight="1">
      <c r="B16" s="70"/>
      <c r="C16" s="6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8"/>
      <c r="O16" s="68"/>
      <c r="P16" s="68"/>
      <c r="Q16" s="68"/>
      <c r="R16" s="68"/>
      <c r="S16" s="68"/>
      <c r="T16" s="68"/>
      <c r="U16" s="68"/>
      <c r="V16" s="67"/>
      <c r="AA16" s="70"/>
      <c r="AB16" s="62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67"/>
    </row>
    <row r="17" spans="2:47" ht="10.5" customHeight="1">
      <c r="B17" s="70"/>
      <c r="C17" s="62"/>
      <c r="D17" s="224" t="s">
        <v>153</v>
      </c>
      <c r="E17" s="224"/>
      <c r="F17" s="224"/>
      <c r="G17" s="224"/>
      <c r="H17" s="224"/>
      <c r="I17" s="224"/>
      <c r="J17" s="224"/>
      <c r="K17" s="224"/>
      <c r="L17" s="224"/>
      <c r="M17" s="224"/>
      <c r="N17" s="226" t="e">
        <f>SUM(#REF!)</f>
        <v>#REF!</v>
      </c>
      <c r="O17" s="226"/>
      <c r="P17" s="226"/>
      <c r="Q17" s="226"/>
      <c r="R17" s="226"/>
      <c r="S17" s="226"/>
      <c r="T17" s="226"/>
      <c r="U17" s="226"/>
      <c r="V17" s="67"/>
      <c r="AA17" s="70"/>
      <c r="AB17" s="62"/>
      <c r="AC17" s="228" t="s">
        <v>153</v>
      </c>
      <c r="AD17" s="228"/>
      <c r="AE17" s="228"/>
      <c r="AF17" s="228"/>
      <c r="AG17" s="228"/>
      <c r="AH17" s="228"/>
      <c r="AI17" s="228"/>
      <c r="AJ17" s="228"/>
      <c r="AK17" s="228"/>
      <c r="AL17" s="229"/>
      <c r="AM17" s="230" t="e">
        <f>DSUM(TB_Entradas[#All],#REF!,CriteriosConsultaProduto)</f>
        <v>#REF!</v>
      </c>
      <c r="AN17" s="249"/>
      <c r="AO17" s="249"/>
      <c r="AP17" s="249"/>
      <c r="AQ17" s="249"/>
      <c r="AR17" s="249"/>
      <c r="AS17" s="249"/>
      <c r="AT17" s="250"/>
      <c r="AU17" s="67"/>
    </row>
    <row r="18" spans="2:47" ht="10.5" customHeight="1">
      <c r="B18" s="70"/>
      <c r="C18" s="62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6"/>
      <c r="O18" s="226"/>
      <c r="P18" s="226"/>
      <c r="Q18" s="226"/>
      <c r="R18" s="226"/>
      <c r="S18" s="226"/>
      <c r="T18" s="226"/>
      <c r="U18" s="226"/>
      <c r="V18" s="67"/>
      <c r="AA18" s="70"/>
      <c r="AB18" s="62"/>
      <c r="AC18" s="228"/>
      <c r="AD18" s="228"/>
      <c r="AE18" s="228"/>
      <c r="AF18" s="228"/>
      <c r="AG18" s="228"/>
      <c r="AH18" s="228"/>
      <c r="AI18" s="228"/>
      <c r="AJ18" s="228"/>
      <c r="AK18" s="228"/>
      <c r="AL18" s="229"/>
      <c r="AM18" s="251"/>
      <c r="AN18" s="252"/>
      <c r="AO18" s="252"/>
      <c r="AP18" s="252"/>
      <c r="AQ18" s="252"/>
      <c r="AR18" s="252"/>
      <c r="AS18" s="252"/>
      <c r="AT18" s="253"/>
      <c r="AU18" s="67"/>
    </row>
    <row r="19" spans="2:47" ht="10.5" customHeight="1">
      <c r="B19" s="70"/>
      <c r="C19" s="6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8"/>
      <c r="O19" s="68"/>
      <c r="P19" s="68"/>
      <c r="Q19" s="68"/>
      <c r="R19" s="68"/>
      <c r="S19" s="68"/>
      <c r="T19" s="68"/>
      <c r="U19" s="68"/>
      <c r="V19" s="67"/>
      <c r="AA19" s="70"/>
      <c r="AB19" s="62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67"/>
    </row>
    <row r="20" spans="2:47" ht="10.5" customHeight="1">
      <c r="B20" s="70"/>
      <c r="C20" s="62"/>
      <c r="D20" s="224" t="s">
        <v>154</v>
      </c>
      <c r="E20" s="224"/>
      <c r="F20" s="224"/>
      <c r="G20" s="224"/>
      <c r="H20" s="224"/>
      <c r="I20" s="224"/>
      <c r="J20" s="224"/>
      <c r="K20" s="224"/>
      <c r="L20" s="224"/>
      <c r="M20" s="224"/>
      <c r="N20" s="226" t="e">
        <f>N14-N17</f>
        <v>#REF!</v>
      </c>
      <c r="O20" s="226"/>
      <c r="P20" s="226"/>
      <c r="Q20" s="226"/>
      <c r="R20" s="226"/>
      <c r="S20" s="226"/>
      <c r="T20" s="226"/>
      <c r="U20" s="226"/>
      <c r="V20" s="67"/>
      <c r="AA20" s="70"/>
      <c r="AB20" s="62"/>
      <c r="AC20" s="228" t="s">
        <v>154</v>
      </c>
      <c r="AD20" s="228"/>
      <c r="AE20" s="228"/>
      <c r="AF20" s="228"/>
      <c r="AG20" s="228"/>
      <c r="AH20" s="228"/>
      <c r="AI20" s="228"/>
      <c r="AJ20" s="228"/>
      <c r="AK20" s="228"/>
      <c r="AL20" s="229"/>
      <c r="AM20" s="230" t="e">
        <f>AM14-AM17</f>
        <v>#REF!</v>
      </c>
      <c r="AN20" s="231"/>
      <c r="AO20" s="231"/>
      <c r="AP20" s="231"/>
      <c r="AQ20" s="231"/>
      <c r="AR20" s="231"/>
      <c r="AS20" s="231"/>
      <c r="AT20" s="232"/>
      <c r="AU20" s="67"/>
    </row>
    <row r="21" spans="2:47" ht="10.5" customHeight="1">
      <c r="B21" s="70"/>
      <c r="C21" s="62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6"/>
      <c r="O21" s="226"/>
      <c r="P21" s="226"/>
      <c r="Q21" s="226"/>
      <c r="R21" s="226"/>
      <c r="S21" s="226"/>
      <c r="T21" s="226"/>
      <c r="U21" s="226"/>
      <c r="V21" s="67"/>
      <c r="AA21" s="70"/>
      <c r="AB21" s="62"/>
      <c r="AC21" s="228"/>
      <c r="AD21" s="228"/>
      <c r="AE21" s="228"/>
      <c r="AF21" s="228"/>
      <c r="AG21" s="228"/>
      <c r="AH21" s="228"/>
      <c r="AI21" s="228"/>
      <c r="AJ21" s="228"/>
      <c r="AK21" s="228"/>
      <c r="AL21" s="229"/>
      <c r="AM21" s="233"/>
      <c r="AN21" s="234"/>
      <c r="AO21" s="234"/>
      <c r="AP21" s="234"/>
      <c r="AQ21" s="234"/>
      <c r="AR21" s="234"/>
      <c r="AS21" s="234"/>
      <c r="AT21" s="235"/>
      <c r="AU21" s="67"/>
    </row>
    <row r="22" spans="2:47" ht="10.5" customHeight="1">
      <c r="B22" s="70"/>
      <c r="C22" s="6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8"/>
      <c r="O22" s="68"/>
      <c r="P22" s="68"/>
      <c r="Q22" s="68"/>
      <c r="R22" s="68"/>
      <c r="S22" s="68"/>
      <c r="T22" s="68"/>
      <c r="U22" s="68"/>
      <c r="V22" s="67"/>
      <c r="AA22" s="70"/>
      <c r="AB22" s="62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67"/>
    </row>
    <row r="23" spans="2:47" ht="10.5" customHeight="1">
      <c r="B23" s="70"/>
      <c r="C23" s="62"/>
      <c r="D23" s="224" t="s">
        <v>155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7" t="e">
        <f>N20/N17</f>
        <v>#REF!</v>
      </c>
      <c r="O23" s="227"/>
      <c r="P23" s="227"/>
      <c r="Q23" s="227"/>
      <c r="R23" s="227"/>
      <c r="S23" s="227"/>
      <c r="T23" s="227"/>
      <c r="U23" s="227"/>
      <c r="V23" s="67"/>
      <c r="AA23" s="70"/>
      <c r="AB23" s="62"/>
      <c r="AC23" s="228" t="s">
        <v>155</v>
      </c>
      <c r="AD23" s="228"/>
      <c r="AE23" s="228"/>
      <c r="AF23" s="228"/>
      <c r="AG23" s="228"/>
      <c r="AH23" s="228"/>
      <c r="AI23" s="228"/>
      <c r="AJ23" s="228"/>
      <c r="AK23" s="228"/>
      <c r="AL23" s="229"/>
      <c r="AM23" s="236" t="e">
        <f>AM20/AM17</f>
        <v>#REF!</v>
      </c>
      <c r="AN23" s="237"/>
      <c r="AO23" s="237"/>
      <c r="AP23" s="237"/>
      <c r="AQ23" s="237"/>
      <c r="AR23" s="237"/>
      <c r="AS23" s="237"/>
      <c r="AT23" s="238"/>
      <c r="AU23" s="67"/>
    </row>
    <row r="24" spans="2:47" ht="10.5" customHeight="1">
      <c r="B24" s="70"/>
      <c r="C24" s="62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7"/>
      <c r="O24" s="227"/>
      <c r="P24" s="227"/>
      <c r="Q24" s="227"/>
      <c r="R24" s="227"/>
      <c r="S24" s="227"/>
      <c r="T24" s="227"/>
      <c r="U24" s="227"/>
      <c r="V24" s="67"/>
      <c r="AA24" s="70"/>
      <c r="AB24" s="62"/>
      <c r="AC24" s="228"/>
      <c r="AD24" s="228"/>
      <c r="AE24" s="228"/>
      <c r="AF24" s="228"/>
      <c r="AG24" s="228"/>
      <c r="AH24" s="228"/>
      <c r="AI24" s="228"/>
      <c r="AJ24" s="228"/>
      <c r="AK24" s="228"/>
      <c r="AL24" s="229"/>
      <c r="AM24" s="239"/>
      <c r="AN24" s="240"/>
      <c r="AO24" s="240"/>
      <c r="AP24" s="240"/>
      <c r="AQ24" s="240"/>
      <c r="AR24" s="240"/>
      <c r="AS24" s="240"/>
      <c r="AT24" s="241"/>
      <c r="AU24" s="67"/>
    </row>
    <row r="25" spans="2:47" ht="10.5" customHeight="1" thickBot="1">
      <c r="B25" s="70"/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9"/>
      <c r="AA25" s="70"/>
      <c r="AB25" s="64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9"/>
    </row>
    <row r="26" spans="2:47" ht="10.5" customHeight="1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</row>
  </sheetData>
  <sheetProtection selectLockedCells="1"/>
  <mergeCells count="27">
    <mergeCell ref="AB5:AU6"/>
    <mergeCell ref="C5:V6"/>
    <mergeCell ref="AM7:AT7"/>
    <mergeCell ref="AC17:AL18"/>
    <mergeCell ref="AM17:AT18"/>
    <mergeCell ref="D8:M9"/>
    <mergeCell ref="D11:M12"/>
    <mergeCell ref="D14:M15"/>
    <mergeCell ref="D17:M18"/>
    <mergeCell ref="AC20:AL21"/>
    <mergeCell ref="AM20:AT21"/>
    <mergeCell ref="AC23:AL24"/>
    <mergeCell ref="AM23:AT24"/>
    <mergeCell ref="AC8:AL9"/>
    <mergeCell ref="AM8:AT9"/>
    <mergeCell ref="AC11:AL12"/>
    <mergeCell ref="AM11:AT12"/>
    <mergeCell ref="AC14:AL15"/>
    <mergeCell ref="AM14:AT15"/>
    <mergeCell ref="D20:M21"/>
    <mergeCell ref="D23:M24"/>
    <mergeCell ref="N8:U9"/>
    <mergeCell ref="N11:U12"/>
    <mergeCell ref="N14:U15"/>
    <mergeCell ref="N17:U18"/>
    <mergeCell ref="N20:U21"/>
    <mergeCell ref="N23:U24"/>
  </mergeCells>
  <dataValidations count="1">
    <dataValidation type="list" allowBlank="1" showInputMessage="1" showErrorMessage="1" sqref="AM8:AT9" xr:uid="{BA2D04B6-D7BF-4ACA-AA8D-0DA4AB77DFCC}">
      <formula1>Lista_Produtos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2.xml>��
</file>

<file path=customXml/item23.xml>��
</file>

<file path=customXml/item2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25.xml>��
</file>

<file path=customXml/item2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05EA4DAA-BDA1-412C-AE0D-6315760D20B7}"/>
</file>

<file path=customXml/itemProps2.xml><?xml version="1.0" encoding="utf-8"?>
<ds:datastoreItem xmlns:ds="http://schemas.openxmlformats.org/officeDocument/2006/customXml" ds:itemID="{F08DD919-2B6A-475A-B07C-539825D39F77}"/>
</file>

<file path=customXml/itemProps3.xml><?xml version="1.0" encoding="utf-8"?>
<ds:datastoreItem xmlns:ds="http://schemas.openxmlformats.org/officeDocument/2006/customXml" ds:itemID="{530FC1BB-2CB3-4AED-B9EE-96E8B1A232F6}"/>
</file>

<file path=customXml/itemProps4.xml><?xml version="1.0" encoding="utf-8"?>
<ds:datastoreItem xmlns:ds="http://schemas.openxmlformats.org/officeDocument/2006/customXml" ds:itemID="{B5706F1B-18AF-46C8-A4AE-DB075B988CF6}"/>
</file>

<file path=customXml/itemProps5.xml><?xml version="1.0" encoding="utf-8"?>
<ds:datastoreItem xmlns:ds="http://schemas.openxmlformats.org/officeDocument/2006/customXml" ds:itemID="{19587EFB-A2CE-46E0-9888-1D5B31304371}"/>
</file>

<file path=customXml/itemProps6.xml><?xml version="1.0" encoding="utf-8"?>
<ds:datastoreItem xmlns:ds="http://schemas.openxmlformats.org/officeDocument/2006/customXml" ds:itemID="{7969F68E-3297-432B-8A16-372A2415B32E}"/>
</file>

<file path=customXml/itemProps7.xml><?xml version="1.0" encoding="utf-8"?>
<ds:datastoreItem xmlns:ds="http://schemas.openxmlformats.org/officeDocument/2006/customXml" ds:itemID="{134419AC-40EE-4142-9107-0960C079FCB4}"/>
</file>

<file path=customXml/itemProps8.xml><?xml version="1.0" encoding="utf-8"?>
<ds:datastoreItem xmlns:ds="http://schemas.openxmlformats.org/officeDocument/2006/customXml" ds:itemID="{AC434079-8E68-4B1E-B2EE-F8A1E334C849}"/>
</file>

<file path=customXml/itemProps9.xml><?xml version="1.0" encoding="utf-8"?>
<ds:datastoreItem xmlns:ds="http://schemas.openxmlformats.org/officeDocument/2006/customXml" ds:itemID="{0399F2D9-A02F-4ECA-9543-5C828D70B495}"/>
</file>

<file path=customXml/itemProps10.xml><?xml version="1.0" encoding="utf-8"?>
<ds:datastoreItem xmlns:ds="http://schemas.openxmlformats.org/officeDocument/2006/customXml" ds:itemID="{D3484467-0D89-4CF2-BBFA-FBDBC2FD0D48}"/>
</file>

<file path=customXml/itemProps11.xml><?xml version="1.0" encoding="utf-8"?>
<ds:datastoreItem xmlns:ds="http://schemas.openxmlformats.org/officeDocument/2006/customXml" ds:itemID="{5AC3457E-1C0A-47AB-8326-C6D4196CB786}"/>
</file>

<file path=customXml/itemProps12.xml><?xml version="1.0" encoding="utf-8"?>
<ds:datastoreItem xmlns:ds="http://schemas.openxmlformats.org/officeDocument/2006/customXml" ds:itemID="{7646E418-200B-4470-9ACC-40BC08C0160E}"/>
</file>

<file path=customXml/itemProps13.xml><?xml version="1.0" encoding="utf-8"?>
<ds:datastoreItem xmlns:ds="http://schemas.openxmlformats.org/officeDocument/2006/customXml" ds:itemID="{25896D32-FBA6-4BF7-8291-7645AAA651B5}"/>
</file>

<file path=customXml/itemProps14.xml><?xml version="1.0" encoding="utf-8"?>
<ds:datastoreItem xmlns:ds="http://schemas.openxmlformats.org/officeDocument/2006/customXml" ds:itemID="{ADF2AC85-99D4-4317-B7ED-ECCEE2745B72}"/>
</file>

<file path=customXml/itemProps15.xml><?xml version="1.0" encoding="utf-8"?>
<ds:datastoreItem xmlns:ds="http://schemas.openxmlformats.org/officeDocument/2006/customXml" ds:itemID="{EADA822E-C001-42A4-848D-A4016EBFECBA}"/>
</file>

<file path=customXml/itemProps16.xml><?xml version="1.0" encoding="utf-8"?>
<ds:datastoreItem xmlns:ds="http://schemas.openxmlformats.org/officeDocument/2006/customXml" ds:itemID="{89C8FC11-BF73-4086-A10F-DF3FB565CBCB}"/>
</file>

<file path=customXml/itemProps17.xml><?xml version="1.0" encoding="utf-8"?>
<ds:datastoreItem xmlns:ds="http://schemas.openxmlformats.org/officeDocument/2006/customXml" ds:itemID="{52104D5A-A7CB-452E-975F-E5D36C463332}"/>
</file>

<file path=customXml/itemProps18.xml><?xml version="1.0" encoding="utf-8"?>
<ds:datastoreItem xmlns:ds="http://schemas.openxmlformats.org/officeDocument/2006/customXml" ds:itemID="{CA239A09-F812-445A-8BDC-8FB7FE519E29}"/>
</file>

<file path=customXml/itemProps19.xml><?xml version="1.0" encoding="utf-8"?>
<ds:datastoreItem xmlns:ds="http://schemas.openxmlformats.org/officeDocument/2006/customXml" ds:itemID="{1A8AD534-3C08-455C-B7F4-579A2BCA7485}"/>
</file>

<file path=customXml/itemProps20.xml><?xml version="1.0" encoding="utf-8"?>
<ds:datastoreItem xmlns:ds="http://schemas.openxmlformats.org/officeDocument/2006/customXml" ds:itemID="{DCAF6B9C-CD8E-4EC6-AA36-131BD5B045EC}"/>
</file>

<file path=customXml/itemProps21.xml><?xml version="1.0" encoding="utf-8"?>
<ds:datastoreItem xmlns:ds="http://schemas.openxmlformats.org/officeDocument/2006/customXml" ds:itemID="{2EEE9F2F-8385-4E62-9B94-4D21CAC728A0}"/>
</file>

<file path=customXml/itemProps22.xml><?xml version="1.0" encoding="utf-8"?>
<ds:datastoreItem xmlns:ds="http://schemas.openxmlformats.org/officeDocument/2006/customXml" ds:itemID="{D31CC1A4-5809-45CB-B521-262C4A24747A}"/>
</file>

<file path=customXml/itemProps23.xml><?xml version="1.0" encoding="utf-8"?>
<ds:datastoreItem xmlns:ds="http://schemas.openxmlformats.org/officeDocument/2006/customXml" ds:itemID="{84A9C5B7-A524-4499-894F-8B22438098A0}"/>
</file>

<file path=customXml/itemProps24.xml><?xml version="1.0" encoding="utf-8"?>
<ds:datastoreItem xmlns:ds="http://schemas.openxmlformats.org/officeDocument/2006/customXml" ds:itemID="{B8D9DDA8-8D83-494B-91DD-98616E9713D8}"/>
</file>

<file path=customXml/itemProps25.xml><?xml version="1.0" encoding="utf-8"?>
<ds:datastoreItem xmlns:ds="http://schemas.openxmlformats.org/officeDocument/2006/customXml" ds:itemID="{046515DB-0322-4C29-A6D6-C79605180047}"/>
</file>

<file path=customXml/itemProps26.xml><?xml version="1.0" encoding="utf-8"?>
<ds:datastoreItem xmlns:ds="http://schemas.openxmlformats.org/officeDocument/2006/customXml" ds:itemID="{F1CF2D06-1FF9-49FF-8812-2D4AC65E587D}"/>
</file>

<file path=customXml/itemProps27.xml><?xml version="1.0" encoding="utf-8"?>
<ds:datastoreItem xmlns:ds="http://schemas.openxmlformats.org/officeDocument/2006/customXml" ds:itemID="{DBF9E335-BE34-4150-A678-A9AFFB66EEC9}"/>
</file>

<file path=customXml/itemProps28.xml><?xml version="1.0" encoding="utf-8"?>
<ds:datastoreItem xmlns:ds="http://schemas.openxmlformats.org/officeDocument/2006/customXml" ds:itemID="{B44031B9-4FC7-4188-9F13-E92F69AFBC0C}"/>
</file>

<file path=customXml/itemProps29.xml><?xml version="1.0" encoding="utf-8"?>
<ds:datastoreItem xmlns:ds="http://schemas.openxmlformats.org/officeDocument/2006/customXml" ds:itemID="{77BDF71E-1BE6-473B-B023-25D097BA7C6E}"/>
</file>

<file path=customXml/itemProps30.xml><?xml version="1.0" encoding="utf-8"?>
<ds:datastoreItem xmlns:ds="http://schemas.openxmlformats.org/officeDocument/2006/customXml" ds:itemID="{459A619A-0DF3-44DA-BDD0-F5C3B297A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/>
  <cp:revision/>
  <dcterms:created xsi:type="dcterms:W3CDTF">2022-11-17T13:49:56Z</dcterms:created>
  <dcterms:modified xsi:type="dcterms:W3CDTF">2025-12-10T16:13:44Z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