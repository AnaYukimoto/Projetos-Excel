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avekmcasa-my.sharepoint.com/personal/aeoliveira_davenecasakm_com_br/Documents/Documentos/Estudos/Estoque Serenatto/"/>
    </mc:Choice>
  </mc:AlternateContent>
  <xr:revisionPtr revIDLastSave="240" documentId="8_{AFA6E5EE-AD89-42D5-AC9B-B3F5D168DEA0}" xr6:coauthVersionLast="47" xr6:coauthVersionMax="47" xr10:uidLastSave="{5DCEFA4E-5730-4244-AD62-D2329DBBDD22}"/>
  <bookViews>
    <workbookView xWindow="28680" yWindow="-120" windowWidth="21840" windowHeight="13140" xr2:uid="{14E39E78-10EE-49EF-AFE6-E4DC2746F2DE}"/>
  </bookViews>
  <sheets>
    <sheet name="Dashboard" sheetId="5" r:id="rId1"/>
    <sheet name="Vendas Dashboard" sheetId="7" r:id="rId2"/>
    <sheet name="Base Funções" sheetId="6" r:id="rId3"/>
    <sheet name="FaturamentoAnual" sheetId="9" r:id="rId4"/>
    <sheet name="VendasFiltradas" sheetId="8" r:id="rId5"/>
    <sheet name="Base PowerQuery" sheetId="4" r:id="rId6"/>
  </sheets>
  <definedNames>
    <definedName name="DadosExternos_1" localSheetId="1" hidden="1">'Vendas Dashboard'!$A$1:$G$338</definedName>
    <definedName name="DadosExternos_1" localSheetId="4" hidden="1">VendasFiltradas!$A$1:$C$13</definedName>
    <definedName name="DadosExternos_2" localSheetId="3" hidden="1">FaturamentoAnual!$A$1:$B$3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5" l="1"/>
  <c r="AE3" i="5"/>
  <c r="R3" i="5"/>
  <c r="E3" i="6"/>
  <c r="E2" i="6"/>
  <c r="D2" i="6" a="1"/>
  <c r="D2" i="6" s="1"/>
  <c r="B7" i="6"/>
  <c r="H14" i="6"/>
  <c r="H4" i="6"/>
  <c r="H5" i="6"/>
  <c r="H6" i="6"/>
  <c r="H7" i="6"/>
  <c r="H8" i="6"/>
  <c r="H9" i="6"/>
  <c r="H10" i="6"/>
  <c r="H11" i="6"/>
  <c r="H12" i="6"/>
  <c r="H13" i="6"/>
  <c r="H3" i="6"/>
  <c r="I7" i="6"/>
  <c r="I3" i="6"/>
  <c r="B1" i="6"/>
  <c r="B3" i="6" s="1"/>
  <c r="I14" i="6" l="1"/>
  <c r="I13" i="6"/>
  <c r="I5" i="6"/>
  <c r="I12" i="6"/>
  <c r="I4" i="6"/>
  <c r="B5" i="6" s="1"/>
  <c r="I6" i="6"/>
  <c r="I10" i="6"/>
  <c r="I11" i="6"/>
  <c r="I9" i="6"/>
  <c r="I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08AD8-27A7-44C8-992F-2014EA77D735}" keepAlive="1" name="Consulta - AnoDash" description="Conexão com a consulta 'AnoDash' na pasta de trabalho." type="5" refreshedVersion="8" background="1" saveData="1">
    <dbPr connection="Provider=Microsoft.Mashup.OleDb.1;Data Source=$Workbook$;Location=AnoDash;Extended Properties=&quot;&quot;" command="SELECT * FROM [AnoDash]"/>
  </connection>
  <connection id="2" xr16:uid="{707FA053-3ED0-402F-8E0C-4A800BEA281F}" keepAlive="1" name="Consulta - FaturamentoAnual" description="Conexão com a consulta 'FaturamentoAnual' na pasta de trabalho." type="5" refreshedVersion="8" background="1" saveData="1">
    <dbPr connection="Provider=Microsoft.Mashup.OleDb.1;Data Source=$Workbook$;Location=FaturamentoAnual;Extended Properties=&quot;&quot;" command="SELECT * FROM [FaturamentoAnual]"/>
  </connection>
  <connection id="3" xr16:uid="{E831E643-C616-4E4E-99D5-9CCBA517D117}" keepAlive="1" name="Consulta - Vendas Dashboard" description="Conexão com a consulta 'Vendas Dashboard' na pasta de trabalho." type="5" refreshedVersion="8" background="1" saveData="1">
    <dbPr connection="Provider=Microsoft.Mashup.OleDb.1;Data Source=$Workbook$;Location=&quot;Vendas Dashboard&quot;;Extended Properties=&quot;&quot;" command="SELECT * FROM [Vendas Dashboar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<sst xmlns="http://schemas.openxmlformats.org/spreadsheetml/2006/main" count="376" uniqueCount="42">
  <si>
    <t>Ano</t>
  </si>
  <si>
    <t>Mês</t>
  </si>
  <si>
    <t>Faturamento Total</t>
  </si>
  <si>
    <t>Maior Faturamento</t>
  </si>
  <si>
    <t>Faturamento Anual</t>
  </si>
  <si>
    <t>Faturamento Mensal</t>
  </si>
  <si>
    <t>N. Mês</t>
  </si>
  <si>
    <t>Faturamento</t>
  </si>
  <si>
    <t>Maior Mês</t>
  </si>
  <si>
    <t xml:space="preserve">Maior Faturamento </t>
  </si>
  <si>
    <t xml:space="preserve">Mês maior Faturamento </t>
  </si>
  <si>
    <t>Data</t>
  </si>
  <si>
    <t>Nome do Mês</t>
  </si>
  <si>
    <t>ID Produto</t>
  </si>
  <si>
    <t>Quantidade</t>
  </si>
  <si>
    <t>Preço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</si>
  <si>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</si>
  <si>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</si>
  <si>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</si>
  <si>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</si>
  <si>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</si>
  <si>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</si>
  <si>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</si>
  <si>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</si>
  <si>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</si>
  <si>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</si>
  <si>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</si>
  <si>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</si>
  <si>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Vendas Dashboard.Mês</t>
  </si>
  <si>
    <t>Vendas Dashboard.Nome do Mês.1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</si>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</sst>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_-[$R$-416]\ * #,##0.00_-;\-[$R$-416]\ * #,##0.00_-;_-[$R$-416]\ * &quot;-&quot;??_-;_-@_-"/>
    <numFmt numFmtId="166" formatCode="mmm"/>
    <numFmt numFmtId="169" formatCode="_-[$R$-416]\ * #,##0_-;\-[$R$-416]\ * #,##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Barlow"/>
    </font>
    <font>
      <b/>
      <sz val="11"/>
      <name val="Barlow"/>
    </font>
    <font>
      <b/>
      <sz val="22"/>
      <color rgb="FF996600"/>
      <name val="Barlow"/>
    </font>
    <font>
      <b/>
      <sz val="24"/>
      <color rgb="FF996600"/>
      <name val="Barlow"/>
    </font>
    <font>
      <b/>
      <sz val="16"/>
      <color rgb="FF3138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13829"/>
      </left>
      <right/>
      <top style="medium">
        <color rgb="FF313829"/>
      </top>
      <bottom/>
      <diagonal/>
    </border>
    <border>
      <left/>
      <right/>
      <top style="medium">
        <color rgb="FF313829"/>
      </top>
      <bottom/>
      <diagonal/>
    </border>
    <border>
      <left/>
      <right style="medium">
        <color rgb="FF313829"/>
      </right>
      <top style="medium">
        <color rgb="FF313829"/>
      </top>
      <bottom/>
      <diagonal/>
    </border>
    <border>
      <left style="medium">
        <color rgb="FF313829"/>
      </left>
      <right/>
      <top/>
      <bottom/>
      <diagonal/>
    </border>
    <border>
      <left/>
      <right style="medium">
        <color rgb="FF313829"/>
      </right>
      <top/>
      <bottom/>
      <diagonal/>
    </border>
    <border>
      <left style="medium">
        <color rgb="FF313829"/>
      </left>
      <right/>
      <top/>
      <bottom style="medium">
        <color rgb="FF313829"/>
      </bottom>
      <diagonal/>
    </border>
    <border>
      <left/>
      <right/>
      <top/>
      <bottom style="medium">
        <color rgb="FF313829"/>
      </bottom>
      <diagonal/>
    </border>
    <border>
      <left/>
      <right style="medium">
        <color rgb="FF313829"/>
      </right>
      <top/>
      <bottom style="medium">
        <color rgb="FF313829"/>
      </bottom>
      <diagonal/>
    </border>
    <border>
      <left/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1" xfId="0" applyFont="1" applyFill="1" applyBorder="1"/>
    <xf numFmtId="165" fontId="1" fillId="0" borderId="8" xfId="0" applyNumberFormat="1" applyFont="1" applyBorder="1"/>
    <xf numFmtId="0" fontId="0" fillId="0" borderId="9" xfId="0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0" fontId="0" fillId="0" borderId="12" xfId="0" applyBorder="1" applyAlignment="1">
      <alignment horizontal="center"/>
    </xf>
    <xf numFmtId="165" fontId="1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3" xfId="0" applyBorder="1"/>
    <xf numFmtId="165" fontId="0" fillId="0" borderId="14" xfId="0" applyNumberFormat="1" applyBorder="1"/>
    <xf numFmtId="0" fontId="0" fillId="0" borderId="15" xfId="0" applyBorder="1"/>
    <xf numFmtId="0" fontId="3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49" fontId="1" fillId="0" borderId="1" xfId="0" applyNumberFormat="1" applyFont="1" applyBorder="1" applyAlignment="1">
      <alignment horizontal="center"/>
    </xf>
    <xf numFmtId="164" fontId="0" fillId="0" borderId="24" xfId="0" applyNumberFormat="1" applyBorder="1"/>
    <xf numFmtId="0" fontId="0" fillId="0" borderId="25" xfId="0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0" fontId="0" fillId="0" borderId="27" xfId="0" applyBorder="1"/>
    <xf numFmtId="165" fontId="0" fillId="0" borderId="28" xfId="0" applyNumberFormat="1" applyBorder="1"/>
    <xf numFmtId="165" fontId="4" fillId="0" borderId="16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9" fontId="5" fillId="0" borderId="16" xfId="0" applyNumberFormat="1" applyFont="1" applyBorder="1" applyAlignment="1">
      <alignment horizontal="center" vertical="top"/>
    </xf>
    <xf numFmtId="169" fontId="5" fillId="0" borderId="17" xfId="0" applyNumberFormat="1" applyFont="1" applyBorder="1" applyAlignment="1">
      <alignment horizontal="center" vertical="top"/>
    </xf>
    <xf numFmtId="169" fontId="5" fillId="0" borderId="18" xfId="0" applyNumberFormat="1" applyFont="1" applyBorder="1" applyAlignment="1">
      <alignment horizontal="center" vertical="top"/>
    </xf>
    <xf numFmtId="169" fontId="5" fillId="0" borderId="19" xfId="0" applyNumberFormat="1" applyFont="1" applyBorder="1" applyAlignment="1">
      <alignment horizontal="center" vertical="top"/>
    </xf>
    <xf numFmtId="169" fontId="5" fillId="0" borderId="0" xfId="0" applyNumberFormat="1" applyFont="1" applyBorder="1" applyAlignment="1">
      <alignment horizontal="center" vertical="top"/>
    </xf>
    <xf numFmtId="169" fontId="5" fillId="0" borderId="20" xfId="0" applyNumberFormat="1" applyFont="1" applyBorder="1" applyAlignment="1">
      <alignment horizontal="center" vertical="top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313829"/>
      <color rgb="FF996600"/>
      <color rgb="FF787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8"/>
            <c:spPr>
              <a:solidFill>
                <a:srgbClr val="9966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&quot;R$&quot;#,##0_);[Red]\(&quot;R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VendasFiltradas!$B$2:$B$13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VendasFiltradas!$C$2:$C$13</c:f>
              <c:numCache>
                <c:formatCode>General</c:formatCode>
                <c:ptCount val="12"/>
                <c:pt idx="0">
                  <c:v>784.5</c:v>
                </c:pt>
                <c:pt idx="1">
                  <c:v>667</c:v>
                </c:pt>
                <c:pt idx="2">
                  <c:v>664</c:v>
                </c:pt>
                <c:pt idx="3">
                  <c:v>531.5</c:v>
                </c:pt>
                <c:pt idx="4">
                  <c:v>712.5</c:v>
                </c:pt>
                <c:pt idx="5">
                  <c:v>762.5</c:v>
                </c:pt>
                <c:pt idx="6">
                  <c:v>624.5</c:v>
                </c:pt>
                <c:pt idx="7">
                  <c:v>651</c:v>
                </c:pt>
                <c:pt idx="8">
                  <c:v>529</c:v>
                </c:pt>
                <c:pt idx="9">
                  <c:v>691</c:v>
                </c:pt>
                <c:pt idx="10">
                  <c:v>611.5</c:v>
                </c:pt>
                <c:pt idx="11">
                  <c:v>836.5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5-4ACD-B434-02E45830D8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2318448"/>
        <c:axId val="742325168"/>
      </c:lineChart>
      <c:catAx>
        <c:axId val="7423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313829">
                <a:alpha val="97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2325168"/>
        <c:crosses val="autoZero"/>
        <c:auto val="1"/>
        <c:lblAlgn val="ctr"/>
        <c:lblOffset val="100"/>
        <c:noMultiLvlLbl val="0"/>
      </c:catAx>
      <c:valAx>
        <c:axId val="742325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231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B3-42A1-98DB-5B2875FA91D5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B3-42A1-98DB-5B2875FA91D5}"/>
              </c:ext>
            </c:extLst>
          </c:dPt>
          <c:dLbls>
            <c:dLbl>
              <c:idx val="0"/>
              <c:layout>
                <c:manualLayout>
                  <c:x val="6.647424626746451E-2"/>
                  <c:y val="-3.3302507390359649E-2"/>
                </c:manualLayout>
              </c:layout>
              <c:numFmt formatCode="&quot;R$&quot;#,##0_);[Red]\(&quot;R$&quot;#,##0\)" sourceLinked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763020237139972"/>
                      <c:h val="0.241369464368647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0B3-42A1-98DB-5B2875FA91D5}"/>
                </c:ext>
              </c:extLst>
            </c:dLbl>
            <c:dLbl>
              <c:idx val="1"/>
              <c:layout>
                <c:manualLayout>
                  <c:x val="-5.7803494517088244E-2"/>
                  <c:y val="2.9602228791430703E-2"/>
                </c:manualLayout>
              </c:layout>
              <c:numFmt formatCode="&quot;R$&quot;#,##0_);[Red]\(&quot;R$&quot;#,##0\)" sourceLinked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658973491863589"/>
                      <c:h val="0.23396890717079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0B3-42A1-98DB-5B2875FA91D5}"/>
                </c:ext>
              </c:extLst>
            </c:dLbl>
            <c:numFmt formatCode="&quot;R$&quot;#,##0_);[Red]\(&quot;R$&quot;#,##0\)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FaturamentoAnual!$A$2:$A$3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FaturamentoAnual!$B$2:$B$3</c:f>
              <c:numCache>
                <c:formatCode>General</c:formatCode>
                <c:ptCount val="2"/>
                <c:pt idx="0">
                  <c:v>8065.5</c:v>
                </c:pt>
                <c:pt idx="1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B3-42A1-98DB-5B2875FA91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30691</xdr:colOff>
      <xdr:row>13</xdr:row>
      <xdr:rowOff>10583</xdr:rowOff>
    </xdr:from>
    <xdr:to>
      <xdr:col>54</xdr:col>
      <xdr:colOff>140758</xdr:colOff>
      <xdr:row>25</xdr:row>
      <xdr:rowOff>49740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06F430C1-6361-5D9A-473C-1C787FAF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97155</xdr:colOff>
      <xdr:row>2</xdr:row>
      <xdr:rowOff>5715</xdr:rowOff>
    </xdr:from>
    <xdr:to>
      <xdr:col>15</xdr:col>
      <xdr:colOff>55360</xdr:colOff>
      <xdr:row>7</xdr:row>
      <xdr:rowOff>29082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240397-8F1D-4304-96B9-F8A2D9546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" y="120015"/>
          <a:ext cx="2225155" cy="588518"/>
        </a:xfrm>
        <a:prstGeom prst="rect">
          <a:avLst/>
        </a:prstGeom>
      </xdr:spPr>
    </xdr:pic>
    <xdr:clientData/>
  </xdr:twoCellAnchor>
  <xdr:twoCellAnchor>
    <xdr:from>
      <xdr:col>2</xdr:col>
      <xdr:colOff>10583</xdr:colOff>
      <xdr:row>11</xdr:row>
      <xdr:rowOff>12172</xdr:rowOff>
    </xdr:from>
    <xdr:to>
      <xdr:col>15</xdr:col>
      <xdr:colOff>137582</xdr:colOff>
      <xdr:row>25</xdr:row>
      <xdr:rowOff>95250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BE1A6587-BCE9-CB34-B919-B9152B249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4290B37-6195-4196-B78A-3F2812F70319}" autoFormatId="16" applyNumberFormats="0" applyBorderFormats="0" applyFontFormats="0" applyPatternFormats="0" applyAlignmentFormats="0" applyWidthHeightFormats="0">
  <queryTableRefresh nextId="9">
    <queryTableFields count="7">
      <queryTableField id="1" name="Data" tableColumnId="1"/>
      <queryTableField id="2" name="Ano" tableColumnId="2"/>
      <queryTableField id="7" name="Mês" tableColumnId="7"/>
      <queryTableField id="3" name="Nome do Mês" tableColumnId="3"/>
      <queryTableField id="4" name="ID Produto" tableColumnId="4"/>
      <queryTableField id="5" name="Quantidade" tableColumnId="5"/>
      <queryTableField id="6" name="Preç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799898AE-E375-4C69-AF28-D75EDCE30FBE}" autoFormatId="16" applyNumberFormats="0" applyBorderFormats="0" applyFontFormats="0" applyPatternFormats="0" applyAlignmentFormats="0" applyWidthHeightFormats="0">
  <queryTableRefresh nextId="3">
    <queryTableFields count="2">
      <queryTableField id="1" name="Ano" tableColumnId="1"/>
      <queryTableField id="2" name="Faturamento Anua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4BE3A96-4729-43C9-9B42-D29FD3E54C27}" autoFormatId="16" applyNumberFormats="0" applyBorderFormats="0" applyFontFormats="0" applyPatternFormats="0" applyAlignmentFormats="0" applyWidthHeightFormats="0">
  <queryTableRefresh nextId="12">
    <queryTableFields count="3">
      <queryTableField id="4" name="Vendas Dashboard.Mês" tableColumnId="4"/>
      <queryTableField id="10" name="Vendas Dashboard.Nome do Mês.1" tableColumnId="10"/>
      <queryTableField id="9" name="Faturament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9FC0D-56D0-4477-9795-1D0BEC3D5A0F}" name="Vendas_Dashboard" displayName="Vendas_Dashboard" ref="A1:G338" tableType="queryTable" totalsRowShown="0">
  <autoFilter ref="A1:G338" xr:uid="{1009FC0D-56D0-4477-9795-1D0BEC3D5A0F}"/>
  <tableColumns count="7">
    <tableColumn id="1" xr3:uid="{A47D0EEB-0A97-4E1C-B4C3-28813C1B2AAF}" uniqueName="1" name="Data" queryTableFieldId="1" dataDxfId="4"/>
    <tableColumn id="2" xr3:uid="{777DB035-22F1-4F92-8C65-2A49C4B0C259}" uniqueName="2" name="Ano" queryTableFieldId="2"/>
    <tableColumn id="7" xr3:uid="{EDCAEA91-571C-488F-A9E8-259E24CA645F}" uniqueName="7" name="Mês" queryTableFieldId="7"/>
    <tableColumn id="3" xr3:uid="{97708B2C-5FC6-4E1E-BB66-E8D7DFFB48A1}" uniqueName="3" name="Nome do Mês" queryTableFieldId="3" dataDxfId="3"/>
    <tableColumn id="4" xr3:uid="{C1D26C74-305D-4667-B8A7-06A805AB95CF}" uniqueName="4" name="ID Produto" queryTableFieldId="4"/>
    <tableColumn id="5" xr3:uid="{0A08ABB2-0B3E-4CD8-8529-FF76B0273064}" uniqueName="5" name="Quantidade" queryTableFieldId="5"/>
    <tableColumn id="6" xr3:uid="{379245AC-682F-4FB5-A398-E970693175DD}" uniqueName="6" name="Preço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24B91F-7050-4606-8F19-16468AEF009B}" name="FaturamentoAnual" displayName="FaturamentoAnual" ref="A1:B3" tableType="queryTable" totalsRowShown="0">
  <autoFilter ref="A1:B3" xr:uid="{CF24B91F-7050-4606-8F19-16468AEF009B}"/>
  <tableColumns count="2">
    <tableColumn id="1" xr3:uid="{B01B1623-8F79-4447-9DD9-D7D4057D5B0A}" uniqueName="1" name="Ano" queryTableFieldId="1"/>
    <tableColumn id="2" xr3:uid="{BFF6D03A-C050-4143-A529-91F5B7C98E68}" uniqueName="2" name="Faturamento Anual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D3C0E-9A7B-4A9E-9642-B701A7439EC4}" name="AnoDash_1" displayName="AnoDash_1" ref="A1:C13" tableType="queryTable" totalsRowShown="0">
  <autoFilter ref="A1:C13" xr:uid="{E7BD3C0E-9A7B-4A9E-9642-B701A7439EC4}"/>
  <tableColumns count="3">
    <tableColumn id="4" xr3:uid="{CBE0827D-2F5E-4F79-B78F-378DFD0DD485}" uniqueName="4" name="Vendas Dashboard.Mês" queryTableFieldId="4"/>
    <tableColumn id="10" xr3:uid="{D0FF9D0A-4B1B-4006-A377-A386FDC2D67B}" uniqueName="10" name="Vendas Dashboard.Nome do Mês.1" queryTableFieldId="10" dataDxfId="0"/>
    <tableColumn id="9" xr3:uid="{6EC22D5F-D712-473F-A489-FB657F168E9E}" uniqueName="9" name="Faturamento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DA1BA8-B830-4330-A40F-0AE606F4223E}" name="AnoDash" displayName="AnoDash" ref="A1:A2" totalsRowShown="0" headerRowBorderDxfId="1" tableBorderDxfId="2">
  <autoFilter ref="A1:A2" xr:uid="{BFDA1BA8-B830-4330-A40F-0AE606F4223E}"/>
  <tableColumns count="1">
    <tableColumn id="1" xr3:uid="{373D53ED-7D10-451C-80FF-88A6C968342B}" name="An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Laranja Amarel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C23E-B921-43FA-8D02-42EB87E7DE53}">
  <sheetPr>
    <tabColor rgb="FF996600"/>
  </sheetPr>
  <dimension ref="C2:BC26"/>
  <sheetViews>
    <sheetView showGridLines="0" showRowColHeaders="0" tabSelected="1" zoomScale="90" zoomScaleNormal="90" workbookViewId="0">
      <selection activeCell="Y35" sqref="Y35"/>
    </sheetView>
  </sheetViews>
  <sheetFormatPr defaultColWidth="2.36328125" defaultRowHeight="9" customHeight="1" x14ac:dyDescent="0.35"/>
  <sheetData>
    <row r="2" spans="3:55" ht="9" customHeight="1" thickBot="1" x14ac:dyDescent="0.4"/>
    <row r="3" spans="3:55" ht="9" customHeight="1" x14ac:dyDescent="0.35">
      <c r="R3" s="45">
        <f>'Base Funções'!$B$3</f>
        <v>1338</v>
      </c>
      <c r="S3" s="46"/>
      <c r="T3" s="46"/>
      <c r="U3" s="46"/>
      <c r="V3" s="46"/>
      <c r="W3" s="46"/>
      <c r="X3" s="46"/>
      <c r="Y3" s="46"/>
      <c r="Z3" s="46"/>
      <c r="AA3" s="46"/>
      <c r="AB3" s="46"/>
      <c r="AC3" s="47"/>
      <c r="AE3" s="45">
        <f>'Base Funções'!$B$5</f>
        <v>836.5</v>
      </c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R3" s="51" t="str">
        <f>'Base Funções'!$B$7</f>
        <v>Dez</v>
      </c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3"/>
    </row>
    <row r="4" spans="3:55" ht="9" customHeight="1" x14ac:dyDescent="0.35">
      <c r="R4" s="48"/>
      <c r="S4" s="49"/>
      <c r="T4" s="49"/>
      <c r="U4" s="49"/>
      <c r="V4" s="49"/>
      <c r="W4" s="49"/>
      <c r="X4" s="49"/>
      <c r="Y4" s="49"/>
      <c r="Z4" s="49"/>
      <c r="AA4" s="49"/>
      <c r="AB4" s="49"/>
      <c r="AC4" s="50"/>
      <c r="AE4" s="48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50"/>
      <c r="AR4" s="54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6"/>
    </row>
    <row r="5" spans="3:55" ht="9" customHeight="1" x14ac:dyDescent="0.35">
      <c r="R5" s="48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  <c r="AE5" s="48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50"/>
      <c r="AR5" s="54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</row>
    <row r="6" spans="3:55" ht="9" customHeight="1" x14ac:dyDescent="0.35">
      <c r="R6" s="48"/>
      <c r="S6" s="49"/>
      <c r="T6" s="49"/>
      <c r="U6" s="49"/>
      <c r="V6" s="49"/>
      <c r="W6" s="49"/>
      <c r="X6" s="49"/>
      <c r="Y6" s="49"/>
      <c r="Z6" s="49"/>
      <c r="AA6" s="49"/>
      <c r="AB6" s="49"/>
      <c r="AC6" s="50"/>
      <c r="AE6" s="48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R6" s="54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6"/>
    </row>
    <row r="7" spans="3:55" ht="9" customHeight="1" x14ac:dyDescent="0.35">
      <c r="R7" s="32" t="s">
        <v>2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33"/>
      <c r="AE7" s="32" t="s">
        <v>9</v>
      </c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33"/>
      <c r="AR7" s="32" t="s">
        <v>10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33"/>
    </row>
    <row r="8" spans="3:55" ht="9" customHeight="1" thickBot="1" x14ac:dyDescent="0.4">
      <c r="R8" s="34"/>
      <c r="S8" s="35"/>
      <c r="T8" s="35"/>
      <c r="U8" s="35"/>
      <c r="V8" s="35"/>
      <c r="W8" s="35"/>
      <c r="X8" s="35"/>
      <c r="Y8" s="35"/>
      <c r="Z8" s="35"/>
      <c r="AA8" s="35"/>
      <c r="AB8" s="35"/>
      <c r="AC8" s="36"/>
      <c r="AE8" s="34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6"/>
      <c r="AR8" s="34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</row>
    <row r="9" spans="3:55" ht="9" customHeight="1" thickBot="1" x14ac:dyDescent="0.4"/>
    <row r="10" spans="3:55" ht="9" customHeight="1" x14ac:dyDescent="0.35">
      <c r="C10" s="22" t="s">
        <v>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R10" s="22" t="s">
        <v>5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</row>
    <row r="11" spans="3:55" ht="9" customHeight="1" thickBot="1" x14ac:dyDescent="0.4">
      <c r="C11" s="25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6"/>
      <c r="R11" s="25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6"/>
    </row>
    <row r="12" spans="3:55" ht="9" customHeight="1" x14ac:dyDescent="0.35">
      <c r="C12" s="28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7"/>
      <c r="R12" s="57">
        <v>2022</v>
      </c>
      <c r="S12" s="58"/>
      <c r="T12" s="58"/>
      <c r="U12" s="58"/>
      <c r="V12" s="58"/>
      <c r="W12" s="59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7"/>
    </row>
    <row r="13" spans="3:55" ht="9" customHeight="1" thickBot="1" x14ac:dyDescent="0.4">
      <c r="C13" s="28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7"/>
      <c r="R13" s="60"/>
      <c r="S13" s="61"/>
      <c r="T13" s="61"/>
      <c r="U13" s="61"/>
      <c r="V13" s="61"/>
      <c r="W13" s="62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7"/>
    </row>
    <row r="14" spans="3:55" ht="9" customHeight="1" x14ac:dyDescent="0.35">
      <c r="C14" s="28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7"/>
      <c r="R14" s="28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7"/>
    </row>
    <row r="15" spans="3:55" ht="9" customHeight="1" x14ac:dyDescent="0.35">
      <c r="C15" s="28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7"/>
      <c r="R15" s="28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7"/>
    </row>
    <row r="16" spans="3:55" ht="9" customHeight="1" x14ac:dyDescent="0.35">
      <c r="C16" s="28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7"/>
      <c r="R16" s="28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7"/>
    </row>
    <row r="17" spans="3:55" ht="9" customHeight="1" x14ac:dyDescent="0.35">
      <c r="C17" s="28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7"/>
      <c r="R17" s="28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7"/>
    </row>
    <row r="18" spans="3:55" ht="9" customHeight="1" x14ac:dyDescent="0.35">
      <c r="C18" s="28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7"/>
      <c r="R18" s="28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7"/>
    </row>
    <row r="19" spans="3:55" ht="9" customHeight="1" x14ac:dyDescent="0.35">
      <c r="C19" s="28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7"/>
      <c r="R19" s="28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7"/>
    </row>
    <row r="20" spans="3:55" ht="9" customHeight="1" x14ac:dyDescent="0.35">
      <c r="C20" s="28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/>
      <c r="R20" s="28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7"/>
    </row>
    <row r="21" spans="3:55" ht="9" customHeight="1" x14ac:dyDescent="0.35">
      <c r="C21" s="28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/>
      <c r="R21" s="28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7"/>
    </row>
    <row r="22" spans="3:55" ht="9" customHeight="1" x14ac:dyDescent="0.35">
      <c r="C22" s="2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/>
      <c r="R22" s="28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7"/>
    </row>
    <row r="23" spans="3:55" ht="9" customHeight="1" x14ac:dyDescent="0.35">
      <c r="C23" s="2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/>
      <c r="R23" s="28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7"/>
    </row>
    <row r="24" spans="3:55" ht="9" customHeight="1" x14ac:dyDescent="0.35">
      <c r="C24" s="28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/>
      <c r="R24" s="28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7"/>
    </row>
    <row r="25" spans="3:55" ht="9" customHeight="1" x14ac:dyDescent="0.35">
      <c r="C25" s="28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/>
      <c r="R25" s="28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7"/>
    </row>
    <row r="26" spans="3:55" ht="9" customHeight="1" thickBot="1" x14ac:dyDescent="0.4">
      <c r="C26" s="29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R26" s="29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1"/>
    </row>
  </sheetData>
  <mergeCells count="9">
    <mergeCell ref="C10:P11"/>
    <mergeCell ref="R10:BC11"/>
    <mergeCell ref="R12:W13"/>
    <mergeCell ref="AE3:AP6"/>
    <mergeCell ref="AE7:AP8"/>
    <mergeCell ref="R7:AC8"/>
    <mergeCell ref="R3:AC6"/>
    <mergeCell ref="AR7:BC8"/>
    <mergeCell ref="AR3:BC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DEDB92-B818-442C-AF71-5B574D9BF716}">
          <x14:formula1>
            <xm:f>'Vendas Dashboard'!$B:$B</xm:f>
          </x14:formula1>
          <xm:sqref>R12:W13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48DE-8BA0-4B36-82DF-3AB88EEB026E}">
  <sheetPr>
    <tabColor theme="9"/>
  </sheetPr>
  <dimension ref="A1:G338"/>
  <sheetViews>
    <sheetView workbookViewId="0">
      <selection activeCell="C30" sqref="C30"/>
    </sheetView>
  </sheetViews>
  <sheetFormatPr defaultRowHeight="14.5" x14ac:dyDescent="0.35"/>
  <cols>
    <col min="1" max="1" width="10.453125" bestFit="1" customWidth="1"/>
    <col min="2" max="2" width="6.6328125" bestFit="1" customWidth="1"/>
    <col min="3" max="3" width="6.90625" bestFit="1" customWidth="1"/>
    <col min="4" max="4" width="15.26953125" bestFit="1" customWidth="1"/>
    <col min="5" max="5" width="12.26953125" bestFit="1" customWidth="1"/>
    <col min="6" max="6" width="13.1796875" bestFit="1" customWidth="1"/>
    <col min="7" max="7" width="8" customWidth="1"/>
  </cols>
  <sheetData>
    <row r="1" spans="1:7" x14ac:dyDescent="0.35">
      <c r="A1" t="s">
        <v>11</v>
      </c>
      <c r="B1" t="s">
        <v>0</v>
      </c>
      <c r="C1" t="s">
        <v>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 s="37">
        <v>44564</v>
      </c>
      <c r="B2">
        <v>2022</v>
      </c>
      <c r="C2">
        <v>1</v>
      </c>
      <c r="D2" s="38" t="s">
        <v>16</v>
      </c>
      <c r="E2">
        <v>510</v>
      </c>
      <c r="F2">
        <v>5</v>
      </c>
      <c r="G2">
        <v>30</v>
      </c>
    </row>
    <row r="3" spans="1:7" x14ac:dyDescent="0.35">
      <c r="A3" s="37">
        <v>44564</v>
      </c>
      <c r="B3">
        <v>2022</v>
      </c>
      <c r="C3">
        <v>1</v>
      </c>
      <c r="D3" s="38" t="s">
        <v>16</v>
      </c>
      <c r="E3">
        <v>516</v>
      </c>
      <c r="F3">
        <v>4</v>
      </c>
      <c r="G3">
        <v>18</v>
      </c>
    </row>
    <row r="4" spans="1:7" x14ac:dyDescent="0.35">
      <c r="A4" s="37">
        <v>44565</v>
      </c>
      <c r="B4">
        <v>2022</v>
      </c>
      <c r="C4">
        <v>1</v>
      </c>
      <c r="D4" s="38" t="s">
        <v>16</v>
      </c>
      <c r="E4">
        <v>510</v>
      </c>
      <c r="F4">
        <v>7</v>
      </c>
      <c r="G4">
        <v>42</v>
      </c>
    </row>
    <row r="5" spans="1:7" x14ac:dyDescent="0.35">
      <c r="A5" s="37">
        <v>44565</v>
      </c>
      <c r="B5">
        <v>2022</v>
      </c>
      <c r="C5">
        <v>1</v>
      </c>
      <c r="D5" s="38" t="s">
        <v>16</v>
      </c>
      <c r="E5">
        <v>514</v>
      </c>
      <c r="F5">
        <v>10</v>
      </c>
      <c r="G5">
        <v>65</v>
      </c>
    </row>
    <row r="6" spans="1:7" x14ac:dyDescent="0.35">
      <c r="A6" s="37">
        <v>44566</v>
      </c>
      <c r="B6">
        <v>2022</v>
      </c>
      <c r="C6">
        <v>1</v>
      </c>
      <c r="D6" s="38" t="s">
        <v>16</v>
      </c>
      <c r="E6">
        <v>548</v>
      </c>
      <c r="F6">
        <v>3</v>
      </c>
      <c r="G6">
        <v>6</v>
      </c>
    </row>
    <row r="7" spans="1:7" x14ac:dyDescent="0.35">
      <c r="A7" s="37">
        <v>44566</v>
      </c>
      <c r="B7">
        <v>2022</v>
      </c>
      <c r="C7">
        <v>1</v>
      </c>
      <c r="D7" s="38" t="s">
        <v>16</v>
      </c>
      <c r="E7">
        <v>510</v>
      </c>
      <c r="F7">
        <v>3</v>
      </c>
      <c r="G7">
        <v>18</v>
      </c>
    </row>
    <row r="8" spans="1:7" x14ac:dyDescent="0.35">
      <c r="A8" s="37">
        <v>44567</v>
      </c>
      <c r="B8">
        <v>2022</v>
      </c>
      <c r="C8">
        <v>1</v>
      </c>
      <c r="D8" s="38" t="s">
        <v>16</v>
      </c>
      <c r="E8">
        <v>530</v>
      </c>
      <c r="F8">
        <v>3</v>
      </c>
      <c r="G8">
        <v>25.5</v>
      </c>
    </row>
    <row r="9" spans="1:7" x14ac:dyDescent="0.35">
      <c r="A9" s="37">
        <v>44567</v>
      </c>
      <c r="B9">
        <v>2022</v>
      </c>
      <c r="C9">
        <v>1</v>
      </c>
      <c r="D9" s="38" t="s">
        <v>16</v>
      </c>
      <c r="E9">
        <v>540</v>
      </c>
      <c r="F9">
        <v>5</v>
      </c>
      <c r="G9">
        <v>37.5</v>
      </c>
    </row>
    <row r="10" spans="1:7" x14ac:dyDescent="0.35">
      <c r="A10" s="37">
        <v>44568</v>
      </c>
      <c r="B10">
        <v>2022</v>
      </c>
      <c r="C10">
        <v>1</v>
      </c>
      <c r="D10" s="38" t="s">
        <v>16</v>
      </c>
      <c r="E10">
        <v>524</v>
      </c>
      <c r="F10">
        <v>6</v>
      </c>
      <c r="G10">
        <v>12</v>
      </c>
    </row>
    <row r="11" spans="1:7" x14ac:dyDescent="0.35">
      <c r="A11" s="37">
        <v>44568</v>
      </c>
      <c r="B11">
        <v>2022</v>
      </c>
      <c r="C11">
        <v>1</v>
      </c>
      <c r="D11" s="38" t="s">
        <v>16</v>
      </c>
      <c r="E11">
        <v>562</v>
      </c>
      <c r="F11">
        <v>2</v>
      </c>
      <c r="G11">
        <v>10</v>
      </c>
    </row>
    <row r="12" spans="1:7" x14ac:dyDescent="0.35">
      <c r="A12" s="37">
        <v>44571</v>
      </c>
      <c r="B12">
        <v>2022</v>
      </c>
      <c r="C12">
        <v>1</v>
      </c>
      <c r="D12" s="38" t="s">
        <v>16</v>
      </c>
      <c r="E12">
        <v>560</v>
      </c>
      <c r="F12">
        <v>2</v>
      </c>
      <c r="G12">
        <v>16</v>
      </c>
    </row>
    <row r="13" spans="1:7" x14ac:dyDescent="0.35">
      <c r="A13" s="37">
        <v>44571</v>
      </c>
      <c r="B13">
        <v>2022</v>
      </c>
      <c r="C13">
        <v>1</v>
      </c>
      <c r="D13" s="38" t="s">
        <v>16</v>
      </c>
      <c r="E13">
        <v>542</v>
      </c>
      <c r="F13">
        <v>2</v>
      </c>
      <c r="G13">
        <v>20</v>
      </c>
    </row>
    <row r="14" spans="1:7" x14ac:dyDescent="0.35">
      <c r="A14" s="37">
        <v>44573</v>
      </c>
      <c r="B14">
        <v>2022</v>
      </c>
      <c r="C14">
        <v>1</v>
      </c>
      <c r="D14" s="38" t="s">
        <v>16</v>
      </c>
      <c r="E14">
        <v>510</v>
      </c>
      <c r="F14">
        <v>3</v>
      </c>
      <c r="G14">
        <v>18</v>
      </c>
    </row>
    <row r="15" spans="1:7" x14ac:dyDescent="0.35">
      <c r="A15" s="37">
        <v>44573</v>
      </c>
      <c r="B15">
        <v>2022</v>
      </c>
      <c r="C15">
        <v>1</v>
      </c>
      <c r="D15" s="38" t="s">
        <v>16</v>
      </c>
      <c r="E15">
        <v>510</v>
      </c>
      <c r="F15">
        <v>5</v>
      </c>
      <c r="G15">
        <v>30</v>
      </c>
    </row>
    <row r="16" spans="1:7" x14ac:dyDescent="0.35">
      <c r="A16" s="37">
        <v>44575</v>
      </c>
      <c r="B16">
        <v>2022</v>
      </c>
      <c r="C16">
        <v>1</v>
      </c>
      <c r="D16" s="38" t="s">
        <v>16</v>
      </c>
      <c r="E16">
        <v>518</v>
      </c>
      <c r="F16">
        <v>4</v>
      </c>
      <c r="G16">
        <v>16</v>
      </c>
    </row>
    <row r="17" spans="1:7" x14ac:dyDescent="0.35">
      <c r="A17" s="37">
        <v>44575</v>
      </c>
      <c r="B17">
        <v>2022</v>
      </c>
      <c r="C17">
        <v>1</v>
      </c>
      <c r="D17" s="38" t="s">
        <v>16</v>
      </c>
      <c r="E17">
        <v>560</v>
      </c>
      <c r="F17">
        <v>4</v>
      </c>
      <c r="G17">
        <v>32</v>
      </c>
    </row>
    <row r="18" spans="1:7" x14ac:dyDescent="0.35">
      <c r="A18" s="37">
        <v>44578</v>
      </c>
      <c r="B18">
        <v>2022</v>
      </c>
      <c r="C18">
        <v>1</v>
      </c>
      <c r="D18" s="38" t="s">
        <v>16</v>
      </c>
      <c r="E18">
        <v>510</v>
      </c>
      <c r="F18">
        <v>2</v>
      </c>
      <c r="G18">
        <v>12</v>
      </c>
    </row>
    <row r="19" spans="1:7" x14ac:dyDescent="0.35">
      <c r="A19" s="37">
        <v>44578</v>
      </c>
      <c r="B19">
        <v>2022</v>
      </c>
      <c r="C19">
        <v>1</v>
      </c>
      <c r="D19" s="38" t="s">
        <v>16</v>
      </c>
      <c r="E19">
        <v>580</v>
      </c>
      <c r="F19">
        <v>5</v>
      </c>
      <c r="G19">
        <v>40</v>
      </c>
    </row>
    <row r="20" spans="1:7" x14ac:dyDescent="0.35">
      <c r="A20" s="37">
        <v>44580</v>
      </c>
      <c r="B20">
        <v>2022</v>
      </c>
      <c r="C20">
        <v>1</v>
      </c>
      <c r="D20" s="38" t="s">
        <v>16</v>
      </c>
      <c r="E20">
        <v>578</v>
      </c>
      <c r="F20">
        <v>1</v>
      </c>
      <c r="G20">
        <v>15.5</v>
      </c>
    </row>
    <row r="21" spans="1:7" x14ac:dyDescent="0.35">
      <c r="A21" s="37">
        <v>44580</v>
      </c>
      <c r="B21">
        <v>2022</v>
      </c>
      <c r="C21">
        <v>1</v>
      </c>
      <c r="D21" s="38" t="s">
        <v>16</v>
      </c>
      <c r="E21">
        <v>510</v>
      </c>
      <c r="F21">
        <v>7</v>
      </c>
      <c r="G21">
        <v>42</v>
      </c>
    </row>
    <row r="22" spans="1:7" x14ac:dyDescent="0.35">
      <c r="A22" s="37">
        <v>44582</v>
      </c>
      <c r="B22">
        <v>2022</v>
      </c>
      <c r="C22">
        <v>1</v>
      </c>
      <c r="D22" s="38" t="s">
        <v>16</v>
      </c>
      <c r="E22">
        <v>530</v>
      </c>
      <c r="F22">
        <v>2</v>
      </c>
      <c r="G22">
        <v>17</v>
      </c>
    </row>
    <row r="23" spans="1:7" x14ac:dyDescent="0.35">
      <c r="A23" s="37">
        <v>44582</v>
      </c>
      <c r="B23">
        <v>2022</v>
      </c>
      <c r="C23">
        <v>1</v>
      </c>
      <c r="D23" s="38" t="s">
        <v>16</v>
      </c>
      <c r="E23">
        <v>540</v>
      </c>
      <c r="F23">
        <v>10</v>
      </c>
      <c r="G23">
        <v>75</v>
      </c>
    </row>
    <row r="24" spans="1:7" x14ac:dyDescent="0.35">
      <c r="A24" s="37">
        <v>44585</v>
      </c>
      <c r="B24">
        <v>2022</v>
      </c>
      <c r="C24">
        <v>1</v>
      </c>
      <c r="D24" s="38" t="s">
        <v>16</v>
      </c>
      <c r="E24">
        <v>536</v>
      </c>
      <c r="F24">
        <v>3</v>
      </c>
      <c r="G24">
        <v>15</v>
      </c>
    </row>
    <row r="25" spans="1:7" x14ac:dyDescent="0.35">
      <c r="A25" s="37">
        <v>44585</v>
      </c>
      <c r="B25">
        <v>2022</v>
      </c>
      <c r="C25">
        <v>1</v>
      </c>
      <c r="D25" s="38" t="s">
        <v>16</v>
      </c>
      <c r="E25">
        <v>580</v>
      </c>
      <c r="F25">
        <v>4</v>
      </c>
      <c r="G25">
        <v>32</v>
      </c>
    </row>
    <row r="26" spans="1:7" x14ac:dyDescent="0.35">
      <c r="A26" s="37">
        <v>44587</v>
      </c>
      <c r="B26">
        <v>2022</v>
      </c>
      <c r="C26">
        <v>1</v>
      </c>
      <c r="D26" s="38" t="s">
        <v>16</v>
      </c>
      <c r="E26">
        <v>520</v>
      </c>
      <c r="F26">
        <v>4</v>
      </c>
      <c r="G26">
        <v>16</v>
      </c>
    </row>
    <row r="27" spans="1:7" x14ac:dyDescent="0.35">
      <c r="A27" s="37">
        <v>44587</v>
      </c>
      <c r="B27">
        <v>2022</v>
      </c>
      <c r="C27">
        <v>1</v>
      </c>
      <c r="D27" s="38" t="s">
        <v>16</v>
      </c>
      <c r="E27">
        <v>548</v>
      </c>
      <c r="F27">
        <v>2</v>
      </c>
      <c r="G27">
        <v>4</v>
      </c>
    </row>
    <row r="28" spans="1:7" x14ac:dyDescent="0.35">
      <c r="A28" s="37">
        <v>44589</v>
      </c>
      <c r="B28">
        <v>2022</v>
      </c>
      <c r="C28">
        <v>1</v>
      </c>
      <c r="D28" s="38" t="s">
        <v>16</v>
      </c>
      <c r="E28">
        <v>522</v>
      </c>
      <c r="F28">
        <v>5</v>
      </c>
      <c r="G28">
        <v>20</v>
      </c>
    </row>
    <row r="29" spans="1:7" x14ac:dyDescent="0.35">
      <c r="A29" s="37">
        <v>44589</v>
      </c>
      <c r="B29">
        <v>2022</v>
      </c>
      <c r="C29">
        <v>1</v>
      </c>
      <c r="D29" s="38" t="s">
        <v>16</v>
      </c>
      <c r="E29">
        <v>510</v>
      </c>
      <c r="F29">
        <v>5</v>
      </c>
      <c r="G29">
        <v>30</v>
      </c>
    </row>
    <row r="30" spans="1:7" x14ac:dyDescent="0.35">
      <c r="A30" s="37">
        <v>44592</v>
      </c>
      <c r="B30">
        <v>2022</v>
      </c>
      <c r="C30">
        <v>1</v>
      </c>
      <c r="D30" s="38" t="s">
        <v>16</v>
      </c>
      <c r="E30">
        <v>580</v>
      </c>
      <c r="F30">
        <v>5</v>
      </c>
      <c r="G30">
        <v>40</v>
      </c>
    </row>
    <row r="31" spans="1:7" x14ac:dyDescent="0.35">
      <c r="A31" s="37">
        <v>44592</v>
      </c>
      <c r="B31">
        <v>2022</v>
      </c>
      <c r="C31">
        <v>1</v>
      </c>
      <c r="D31" s="38" t="s">
        <v>16</v>
      </c>
      <c r="E31">
        <v>510</v>
      </c>
      <c r="F31">
        <v>5</v>
      </c>
      <c r="G31">
        <v>30</v>
      </c>
    </row>
    <row r="32" spans="1:7" x14ac:dyDescent="0.35">
      <c r="A32" s="37">
        <v>44599</v>
      </c>
      <c r="B32">
        <v>2022</v>
      </c>
      <c r="C32">
        <v>2</v>
      </c>
      <c r="D32" s="38" t="s">
        <v>17</v>
      </c>
      <c r="E32">
        <v>532</v>
      </c>
      <c r="F32">
        <v>2</v>
      </c>
      <c r="G32">
        <v>20</v>
      </c>
    </row>
    <row r="33" spans="1:7" x14ac:dyDescent="0.35">
      <c r="A33" s="37">
        <v>44599</v>
      </c>
      <c r="B33">
        <v>2022</v>
      </c>
      <c r="C33">
        <v>2</v>
      </c>
      <c r="D33" s="38" t="s">
        <v>17</v>
      </c>
      <c r="E33">
        <v>544</v>
      </c>
      <c r="F33">
        <v>3</v>
      </c>
      <c r="G33">
        <v>36</v>
      </c>
    </row>
    <row r="34" spans="1:7" x14ac:dyDescent="0.35">
      <c r="A34" s="37">
        <v>44599</v>
      </c>
      <c r="B34">
        <v>2022</v>
      </c>
      <c r="C34">
        <v>2</v>
      </c>
      <c r="D34" s="38" t="s">
        <v>17</v>
      </c>
      <c r="E34">
        <v>514</v>
      </c>
      <c r="F34">
        <v>11</v>
      </c>
      <c r="G34">
        <v>71.5</v>
      </c>
    </row>
    <row r="35" spans="1:7" x14ac:dyDescent="0.35">
      <c r="A35" s="37">
        <v>44599</v>
      </c>
      <c r="B35">
        <v>2022</v>
      </c>
      <c r="C35">
        <v>2</v>
      </c>
      <c r="D35" s="38" t="s">
        <v>17</v>
      </c>
      <c r="E35">
        <v>548</v>
      </c>
      <c r="F35">
        <v>10</v>
      </c>
      <c r="G35">
        <v>20</v>
      </c>
    </row>
    <row r="36" spans="1:7" x14ac:dyDescent="0.35">
      <c r="A36" s="37">
        <v>44600</v>
      </c>
      <c r="B36">
        <v>2022</v>
      </c>
      <c r="C36">
        <v>2</v>
      </c>
      <c r="D36" s="38" t="s">
        <v>17</v>
      </c>
      <c r="E36">
        <v>536</v>
      </c>
      <c r="F36">
        <v>5</v>
      </c>
      <c r="G36">
        <v>25</v>
      </c>
    </row>
    <row r="37" spans="1:7" x14ac:dyDescent="0.35">
      <c r="A37" s="37">
        <v>44600</v>
      </c>
      <c r="B37">
        <v>2022</v>
      </c>
      <c r="C37">
        <v>2</v>
      </c>
      <c r="D37" s="38" t="s">
        <v>17</v>
      </c>
      <c r="E37">
        <v>542</v>
      </c>
      <c r="F37">
        <v>3</v>
      </c>
      <c r="G37">
        <v>30</v>
      </c>
    </row>
    <row r="38" spans="1:7" x14ac:dyDescent="0.35">
      <c r="A38" s="37">
        <v>44601</v>
      </c>
      <c r="B38">
        <v>2022</v>
      </c>
      <c r="C38">
        <v>2</v>
      </c>
      <c r="D38" s="38" t="s">
        <v>17</v>
      </c>
      <c r="E38">
        <v>514</v>
      </c>
      <c r="F38">
        <v>12</v>
      </c>
      <c r="G38">
        <v>78</v>
      </c>
    </row>
    <row r="39" spans="1:7" x14ac:dyDescent="0.35">
      <c r="A39" s="37">
        <v>44601</v>
      </c>
      <c r="B39">
        <v>2022</v>
      </c>
      <c r="C39">
        <v>2</v>
      </c>
      <c r="D39" s="38" t="s">
        <v>17</v>
      </c>
      <c r="E39">
        <v>548</v>
      </c>
      <c r="F39">
        <v>10</v>
      </c>
      <c r="G39">
        <v>20</v>
      </c>
    </row>
    <row r="40" spans="1:7" x14ac:dyDescent="0.35">
      <c r="A40" s="37">
        <v>44602</v>
      </c>
      <c r="B40">
        <v>2022</v>
      </c>
      <c r="C40">
        <v>2</v>
      </c>
      <c r="D40" s="38" t="s">
        <v>17</v>
      </c>
      <c r="E40">
        <v>540</v>
      </c>
      <c r="F40">
        <v>5</v>
      </c>
      <c r="G40">
        <v>37.5</v>
      </c>
    </row>
    <row r="41" spans="1:7" x14ac:dyDescent="0.35">
      <c r="A41" s="37">
        <v>44602</v>
      </c>
      <c r="B41">
        <v>2022</v>
      </c>
      <c r="C41">
        <v>2</v>
      </c>
      <c r="D41" s="38" t="s">
        <v>17</v>
      </c>
      <c r="E41">
        <v>560</v>
      </c>
      <c r="F41">
        <v>5</v>
      </c>
      <c r="G41">
        <v>40</v>
      </c>
    </row>
    <row r="42" spans="1:7" x14ac:dyDescent="0.35">
      <c r="A42" s="37">
        <v>44603</v>
      </c>
      <c r="B42">
        <v>2022</v>
      </c>
      <c r="C42">
        <v>2</v>
      </c>
      <c r="D42" s="38" t="s">
        <v>17</v>
      </c>
      <c r="E42">
        <v>516</v>
      </c>
      <c r="F42">
        <v>7</v>
      </c>
      <c r="G42">
        <v>31.5</v>
      </c>
    </row>
    <row r="43" spans="1:7" x14ac:dyDescent="0.35">
      <c r="A43" s="37">
        <v>44603</v>
      </c>
      <c r="B43">
        <v>2022</v>
      </c>
      <c r="C43">
        <v>2</v>
      </c>
      <c r="D43" s="38" t="s">
        <v>17</v>
      </c>
      <c r="E43">
        <v>530</v>
      </c>
      <c r="F43">
        <v>5</v>
      </c>
      <c r="G43">
        <v>42.5</v>
      </c>
    </row>
    <row r="44" spans="1:7" x14ac:dyDescent="0.35">
      <c r="A44" s="37">
        <v>44613</v>
      </c>
      <c r="B44">
        <v>2022</v>
      </c>
      <c r="C44">
        <v>2</v>
      </c>
      <c r="D44" s="38" t="s">
        <v>17</v>
      </c>
      <c r="E44">
        <v>518</v>
      </c>
      <c r="F44">
        <v>4</v>
      </c>
      <c r="G44">
        <v>16</v>
      </c>
    </row>
    <row r="45" spans="1:7" x14ac:dyDescent="0.35">
      <c r="A45" s="37">
        <v>44613</v>
      </c>
      <c r="B45">
        <v>2022</v>
      </c>
      <c r="C45">
        <v>2</v>
      </c>
      <c r="D45" s="38" t="s">
        <v>17</v>
      </c>
      <c r="E45">
        <v>524</v>
      </c>
      <c r="F45">
        <v>3</v>
      </c>
      <c r="G45">
        <v>6</v>
      </c>
    </row>
    <row r="46" spans="1:7" x14ac:dyDescent="0.35">
      <c r="A46" s="37">
        <v>44615</v>
      </c>
      <c r="B46">
        <v>2022</v>
      </c>
      <c r="C46">
        <v>2</v>
      </c>
      <c r="D46" s="38" t="s">
        <v>17</v>
      </c>
      <c r="E46">
        <v>520</v>
      </c>
      <c r="F46">
        <v>6</v>
      </c>
      <c r="G46">
        <v>24</v>
      </c>
    </row>
    <row r="47" spans="1:7" x14ac:dyDescent="0.35">
      <c r="A47" s="37">
        <v>44615</v>
      </c>
      <c r="B47">
        <v>2022</v>
      </c>
      <c r="C47">
        <v>2</v>
      </c>
      <c r="D47" s="38" t="s">
        <v>17</v>
      </c>
      <c r="E47">
        <v>580</v>
      </c>
      <c r="F47">
        <v>6</v>
      </c>
      <c r="G47">
        <v>48</v>
      </c>
    </row>
    <row r="48" spans="1:7" x14ac:dyDescent="0.35">
      <c r="A48" s="37">
        <v>44616</v>
      </c>
      <c r="B48">
        <v>2022</v>
      </c>
      <c r="C48">
        <v>2</v>
      </c>
      <c r="D48" s="38" t="s">
        <v>17</v>
      </c>
      <c r="E48">
        <v>522</v>
      </c>
      <c r="F48">
        <v>6</v>
      </c>
      <c r="G48">
        <v>24</v>
      </c>
    </row>
    <row r="49" spans="1:7" x14ac:dyDescent="0.35">
      <c r="A49" s="37">
        <v>44616</v>
      </c>
      <c r="B49">
        <v>2022</v>
      </c>
      <c r="C49">
        <v>2</v>
      </c>
      <c r="D49" s="38" t="s">
        <v>17</v>
      </c>
      <c r="E49">
        <v>510</v>
      </c>
      <c r="F49">
        <v>6</v>
      </c>
      <c r="G49">
        <v>36</v>
      </c>
    </row>
    <row r="50" spans="1:7" x14ac:dyDescent="0.35">
      <c r="A50" s="37">
        <v>44617</v>
      </c>
      <c r="B50">
        <v>2022</v>
      </c>
      <c r="C50">
        <v>2</v>
      </c>
      <c r="D50" s="38" t="s">
        <v>17</v>
      </c>
      <c r="E50">
        <v>562</v>
      </c>
      <c r="F50">
        <v>5</v>
      </c>
      <c r="G50">
        <v>25</v>
      </c>
    </row>
    <row r="51" spans="1:7" x14ac:dyDescent="0.35">
      <c r="A51" s="37">
        <v>44617</v>
      </c>
      <c r="B51">
        <v>2022</v>
      </c>
      <c r="C51">
        <v>2</v>
      </c>
      <c r="D51" s="38" t="s">
        <v>17</v>
      </c>
      <c r="E51">
        <v>510</v>
      </c>
      <c r="F51">
        <v>6</v>
      </c>
      <c r="G51">
        <v>36</v>
      </c>
    </row>
    <row r="52" spans="1:7" x14ac:dyDescent="0.35">
      <c r="A52" s="37">
        <v>44627</v>
      </c>
      <c r="B52">
        <v>2022</v>
      </c>
      <c r="C52">
        <v>3</v>
      </c>
      <c r="D52" s="38" t="s">
        <v>18</v>
      </c>
      <c r="E52">
        <v>532</v>
      </c>
      <c r="F52">
        <v>2</v>
      </c>
      <c r="G52">
        <v>20</v>
      </c>
    </row>
    <row r="53" spans="1:7" x14ac:dyDescent="0.35">
      <c r="A53" s="37">
        <v>44627</v>
      </c>
      <c r="B53">
        <v>2022</v>
      </c>
      <c r="C53">
        <v>3</v>
      </c>
      <c r="D53" s="38" t="s">
        <v>18</v>
      </c>
      <c r="E53">
        <v>544</v>
      </c>
      <c r="F53">
        <v>4</v>
      </c>
      <c r="G53">
        <v>48</v>
      </c>
    </row>
    <row r="54" spans="1:7" x14ac:dyDescent="0.35">
      <c r="A54" s="37">
        <v>44628</v>
      </c>
      <c r="B54">
        <v>2022</v>
      </c>
      <c r="C54">
        <v>3</v>
      </c>
      <c r="D54" s="38" t="s">
        <v>18</v>
      </c>
      <c r="E54">
        <v>536</v>
      </c>
      <c r="F54">
        <v>5</v>
      </c>
      <c r="G54">
        <v>25</v>
      </c>
    </row>
    <row r="55" spans="1:7" x14ac:dyDescent="0.35">
      <c r="A55" s="37">
        <v>44628</v>
      </c>
      <c r="B55">
        <v>2022</v>
      </c>
      <c r="C55">
        <v>3</v>
      </c>
      <c r="D55" s="38" t="s">
        <v>18</v>
      </c>
      <c r="E55">
        <v>580</v>
      </c>
      <c r="F55">
        <v>7</v>
      </c>
      <c r="G55">
        <v>56</v>
      </c>
    </row>
    <row r="56" spans="1:7" x14ac:dyDescent="0.35">
      <c r="A56" s="37">
        <v>44634</v>
      </c>
      <c r="B56">
        <v>2022</v>
      </c>
      <c r="C56">
        <v>3</v>
      </c>
      <c r="D56" s="38" t="s">
        <v>18</v>
      </c>
      <c r="E56">
        <v>514</v>
      </c>
      <c r="F56">
        <v>9</v>
      </c>
      <c r="G56">
        <v>58.5</v>
      </c>
    </row>
    <row r="57" spans="1:7" x14ac:dyDescent="0.35">
      <c r="A57" s="37">
        <v>44634</v>
      </c>
      <c r="B57">
        <v>2022</v>
      </c>
      <c r="C57">
        <v>3</v>
      </c>
      <c r="D57" s="38" t="s">
        <v>18</v>
      </c>
      <c r="E57">
        <v>548</v>
      </c>
      <c r="F57">
        <v>10</v>
      </c>
      <c r="G57">
        <v>20</v>
      </c>
    </row>
    <row r="58" spans="1:7" x14ac:dyDescent="0.35">
      <c r="A58" s="37">
        <v>44636</v>
      </c>
      <c r="B58">
        <v>2022</v>
      </c>
      <c r="C58">
        <v>3</v>
      </c>
      <c r="D58" s="38" t="s">
        <v>18</v>
      </c>
      <c r="E58">
        <v>540</v>
      </c>
      <c r="F58">
        <v>5</v>
      </c>
      <c r="G58">
        <v>37.5</v>
      </c>
    </row>
    <row r="59" spans="1:7" x14ac:dyDescent="0.35">
      <c r="A59" s="37">
        <v>44636</v>
      </c>
      <c r="B59">
        <v>2022</v>
      </c>
      <c r="C59">
        <v>3</v>
      </c>
      <c r="D59" s="38" t="s">
        <v>18</v>
      </c>
      <c r="E59">
        <v>560</v>
      </c>
      <c r="F59">
        <v>5</v>
      </c>
      <c r="G59">
        <v>40</v>
      </c>
    </row>
    <row r="60" spans="1:7" x14ac:dyDescent="0.35">
      <c r="A60" s="37">
        <v>44638</v>
      </c>
      <c r="B60">
        <v>2022</v>
      </c>
      <c r="C60">
        <v>3</v>
      </c>
      <c r="D60" s="38" t="s">
        <v>18</v>
      </c>
      <c r="E60">
        <v>516</v>
      </c>
      <c r="F60">
        <v>7</v>
      </c>
      <c r="G60">
        <v>31.5</v>
      </c>
    </row>
    <row r="61" spans="1:7" x14ac:dyDescent="0.35">
      <c r="A61" s="37">
        <v>44638</v>
      </c>
      <c r="B61">
        <v>2022</v>
      </c>
      <c r="C61">
        <v>3</v>
      </c>
      <c r="D61" s="38" t="s">
        <v>18</v>
      </c>
      <c r="E61">
        <v>530</v>
      </c>
      <c r="F61">
        <v>5</v>
      </c>
      <c r="G61">
        <v>42.5</v>
      </c>
    </row>
    <row r="62" spans="1:7" x14ac:dyDescent="0.35">
      <c r="A62" s="37">
        <v>44639</v>
      </c>
      <c r="B62">
        <v>2022</v>
      </c>
      <c r="C62">
        <v>3</v>
      </c>
      <c r="D62" s="38" t="s">
        <v>18</v>
      </c>
      <c r="E62">
        <v>524</v>
      </c>
      <c r="F62">
        <v>3</v>
      </c>
      <c r="G62">
        <v>6</v>
      </c>
    </row>
    <row r="63" spans="1:7" x14ac:dyDescent="0.35">
      <c r="A63" s="37">
        <v>44639</v>
      </c>
      <c r="B63">
        <v>2022</v>
      </c>
      <c r="C63">
        <v>3</v>
      </c>
      <c r="D63" s="38" t="s">
        <v>18</v>
      </c>
      <c r="E63">
        <v>580</v>
      </c>
      <c r="F63">
        <v>5</v>
      </c>
      <c r="G63">
        <v>40</v>
      </c>
    </row>
    <row r="64" spans="1:7" x14ac:dyDescent="0.35">
      <c r="A64" s="37">
        <v>44642</v>
      </c>
      <c r="B64">
        <v>2022</v>
      </c>
      <c r="C64">
        <v>3</v>
      </c>
      <c r="D64" s="38" t="s">
        <v>18</v>
      </c>
      <c r="E64">
        <v>518</v>
      </c>
      <c r="F64">
        <v>4</v>
      </c>
      <c r="G64">
        <v>16</v>
      </c>
    </row>
    <row r="65" spans="1:7" x14ac:dyDescent="0.35">
      <c r="A65" s="37">
        <v>44642</v>
      </c>
      <c r="B65">
        <v>2022</v>
      </c>
      <c r="C65">
        <v>3</v>
      </c>
      <c r="D65" s="38" t="s">
        <v>18</v>
      </c>
      <c r="E65">
        <v>524</v>
      </c>
      <c r="F65">
        <v>3</v>
      </c>
      <c r="G65">
        <v>6</v>
      </c>
    </row>
    <row r="66" spans="1:7" x14ac:dyDescent="0.35">
      <c r="A66" s="37">
        <v>44644</v>
      </c>
      <c r="B66">
        <v>2022</v>
      </c>
      <c r="C66">
        <v>3</v>
      </c>
      <c r="D66" s="38" t="s">
        <v>18</v>
      </c>
      <c r="E66">
        <v>520</v>
      </c>
      <c r="F66">
        <v>6</v>
      </c>
      <c r="G66">
        <v>24</v>
      </c>
    </row>
    <row r="67" spans="1:7" x14ac:dyDescent="0.35">
      <c r="A67" s="37">
        <v>44644</v>
      </c>
      <c r="B67">
        <v>2022</v>
      </c>
      <c r="C67">
        <v>3</v>
      </c>
      <c r="D67" s="38" t="s">
        <v>18</v>
      </c>
      <c r="E67">
        <v>580</v>
      </c>
      <c r="F67">
        <v>6</v>
      </c>
      <c r="G67">
        <v>48</v>
      </c>
    </row>
    <row r="68" spans="1:7" x14ac:dyDescent="0.35">
      <c r="A68" s="37">
        <v>44646</v>
      </c>
      <c r="B68">
        <v>2022</v>
      </c>
      <c r="C68">
        <v>3</v>
      </c>
      <c r="D68" s="38" t="s">
        <v>18</v>
      </c>
      <c r="E68">
        <v>522</v>
      </c>
      <c r="F68">
        <v>6</v>
      </c>
      <c r="G68">
        <v>24</v>
      </c>
    </row>
    <row r="69" spans="1:7" x14ac:dyDescent="0.35">
      <c r="A69" s="37">
        <v>44646</v>
      </c>
      <c r="B69">
        <v>2022</v>
      </c>
      <c r="C69">
        <v>3</v>
      </c>
      <c r="D69" s="38" t="s">
        <v>18</v>
      </c>
      <c r="E69">
        <v>510</v>
      </c>
      <c r="F69">
        <v>6</v>
      </c>
      <c r="G69">
        <v>36</v>
      </c>
    </row>
    <row r="70" spans="1:7" x14ac:dyDescent="0.35">
      <c r="A70" s="37">
        <v>44648</v>
      </c>
      <c r="B70">
        <v>2022</v>
      </c>
      <c r="C70">
        <v>3</v>
      </c>
      <c r="D70" s="38" t="s">
        <v>18</v>
      </c>
      <c r="E70">
        <v>562</v>
      </c>
      <c r="F70">
        <v>5</v>
      </c>
      <c r="G70">
        <v>25</v>
      </c>
    </row>
    <row r="71" spans="1:7" x14ac:dyDescent="0.35">
      <c r="A71" s="37">
        <v>44648</v>
      </c>
      <c r="B71">
        <v>2022</v>
      </c>
      <c r="C71">
        <v>3</v>
      </c>
      <c r="D71" s="38" t="s">
        <v>18</v>
      </c>
      <c r="E71">
        <v>510</v>
      </c>
      <c r="F71">
        <v>6</v>
      </c>
      <c r="G71">
        <v>36</v>
      </c>
    </row>
    <row r="72" spans="1:7" x14ac:dyDescent="0.35">
      <c r="A72" s="37">
        <v>44650</v>
      </c>
      <c r="B72">
        <v>2022</v>
      </c>
      <c r="C72">
        <v>3</v>
      </c>
      <c r="D72" s="38" t="s">
        <v>18</v>
      </c>
      <c r="E72">
        <v>544</v>
      </c>
      <c r="F72">
        <v>2</v>
      </c>
      <c r="G72">
        <v>24</v>
      </c>
    </row>
    <row r="73" spans="1:7" x14ac:dyDescent="0.35">
      <c r="A73" s="37">
        <v>44655</v>
      </c>
      <c r="B73">
        <v>2022</v>
      </c>
      <c r="C73">
        <v>4</v>
      </c>
      <c r="D73" s="38" t="s">
        <v>19</v>
      </c>
      <c r="E73">
        <v>532</v>
      </c>
      <c r="F73">
        <v>2</v>
      </c>
      <c r="G73">
        <v>20</v>
      </c>
    </row>
    <row r="74" spans="1:7" x14ac:dyDescent="0.35">
      <c r="A74" s="37">
        <v>44655</v>
      </c>
      <c r="B74">
        <v>2022</v>
      </c>
      <c r="C74">
        <v>4</v>
      </c>
      <c r="D74" s="38" t="s">
        <v>19</v>
      </c>
      <c r="E74">
        <v>544</v>
      </c>
      <c r="F74">
        <v>2</v>
      </c>
      <c r="G74">
        <v>24</v>
      </c>
    </row>
    <row r="75" spans="1:7" x14ac:dyDescent="0.35">
      <c r="A75" s="37">
        <v>44657</v>
      </c>
      <c r="B75">
        <v>2022</v>
      </c>
      <c r="C75">
        <v>4</v>
      </c>
      <c r="D75" s="38" t="s">
        <v>19</v>
      </c>
      <c r="E75">
        <v>536</v>
      </c>
      <c r="F75">
        <v>5</v>
      </c>
      <c r="G75">
        <v>25</v>
      </c>
    </row>
    <row r="76" spans="1:7" x14ac:dyDescent="0.35">
      <c r="A76" s="37">
        <v>44657</v>
      </c>
      <c r="B76">
        <v>2022</v>
      </c>
      <c r="C76">
        <v>4</v>
      </c>
      <c r="D76" s="38" t="s">
        <v>19</v>
      </c>
      <c r="E76">
        <v>580</v>
      </c>
      <c r="F76">
        <v>3</v>
      </c>
      <c r="G76">
        <v>24</v>
      </c>
    </row>
    <row r="77" spans="1:7" x14ac:dyDescent="0.35">
      <c r="A77" s="37">
        <v>44659</v>
      </c>
      <c r="B77">
        <v>2022</v>
      </c>
      <c r="C77">
        <v>4</v>
      </c>
      <c r="D77" s="38" t="s">
        <v>19</v>
      </c>
      <c r="E77">
        <v>514</v>
      </c>
      <c r="F77">
        <v>8</v>
      </c>
      <c r="G77">
        <v>52</v>
      </c>
    </row>
    <row r="78" spans="1:7" x14ac:dyDescent="0.35">
      <c r="A78" s="37">
        <v>44659</v>
      </c>
      <c r="B78">
        <v>2022</v>
      </c>
      <c r="C78">
        <v>4</v>
      </c>
      <c r="D78" s="38" t="s">
        <v>19</v>
      </c>
      <c r="E78">
        <v>548</v>
      </c>
      <c r="F78">
        <v>10</v>
      </c>
      <c r="G78">
        <v>20</v>
      </c>
    </row>
    <row r="79" spans="1:7" x14ac:dyDescent="0.35">
      <c r="A79" s="37">
        <v>44663</v>
      </c>
      <c r="B79">
        <v>2022</v>
      </c>
      <c r="C79">
        <v>4</v>
      </c>
      <c r="D79" s="38" t="s">
        <v>19</v>
      </c>
      <c r="E79">
        <v>540</v>
      </c>
      <c r="F79">
        <v>5</v>
      </c>
      <c r="G79">
        <v>37.5</v>
      </c>
    </row>
    <row r="80" spans="1:7" x14ac:dyDescent="0.35">
      <c r="A80" s="37">
        <v>44663</v>
      </c>
      <c r="B80">
        <v>2022</v>
      </c>
      <c r="C80">
        <v>4</v>
      </c>
      <c r="D80" s="38" t="s">
        <v>19</v>
      </c>
      <c r="E80">
        <v>560</v>
      </c>
      <c r="F80">
        <v>5</v>
      </c>
      <c r="G80">
        <v>40</v>
      </c>
    </row>
    <row r="81" spans="1:7" x14ac:dyDescent="0.35">
      <c r="A81" s="37">
        <v>44665</v>
      </c>
      <c r="B81">
        <v>2022</v>
      </c>
      <c r="C81">
        <v>4</v>
      </c>
      <c r="D81" s="38" t="s">
        <v>19</v>
      </c>
      <c r="E81">
        <v>516</v>
      </c>
      <c r="F81">
        <v>7</v>
      </c>
      <c r="G81">
        <v>31.5</v>
      </c>
    </row>
    <row r="82" spans="1:7" x14ac:dyDescent="0.35">
      <c r="A82" s="37">
        <v>44665</v>
      </c>
      <c r="B82">
        <v>2022</v>
      </c>
      <c r="C82">
        <v>4</v>
      </c>
      <c r="D82" s="38" t="s">
        <v>19</v>
      </c>
      <c r="E82">
        <v>530</v>
      </c>
      <c r="F82">
        <v>5</v>
      </c>
      <c r="G82">
        <v>42.5</v>
      </c>
    </row>
    <row r="83" spans="1:7" x14ac:dyDescent="0.35">
      <c r="A83" s="37">
        <v>44669</v>
      </c>
      <c r="B83">
        <v>2022</v>
      </c>
      <c r="C83">
        <v>4</v>
      </c>
      <c r="D83" s="38" t="s">
        <v>19</v>
      </c>
      <c r="E83">
        <v>518</v>
      </c>
      <c r="F83">
        <v>4</v>
      </c>
      <c r="G83">
        <v>16</v>
      </c>
    </row>
    <row r="84" spans="1:7" x14ac:dyDescent="0.35">
      <c r="A84" s="37">
        <v>44669</v>
      </c>
      <c r="B84">
        <v>2022</v>
      </c>
      <c r="C84">
        <v>4</v>
      </c>
      <c r="D84" s="38" t="s">
        <v>19</v>
      </c>
      <c r="E84">
        <v>524</v>
      </c>
      <c r="F84">
        <v>3</v>
      </c>
      <c r="G84">
        <v>6</v>
      </c>
    </row>
    <row r="85" spans="1:7" x14ac:dyDescent="0.35">
      <c r="A85" s="37">
        <v>44671</v>
      </c>
      <c r="B85">
        <v>2022</v>
      </c>
      <c r="C85">
        <v>4</v>
      </c>
      <c r="D85" s="38" t="s">
        <v>19</v>
      </c>
      <c r="E85">
        <v>520</v>
      </c>
      <c r="F85">
        <v>6</v>
      </c>
      <c r="G85">
        <v>24</v>
      </c>
    </row>
    <row r="86" spans="1:7" x14ac:dyDescent="0.35">
      <c r="A86" s="37">
        <v>44671</v>
      </c>
      <c r="B86">
        <v>2022</v>
      </c>
      <c r="C86">
        <v>4</v>
      </c>
      <c r="D86" s="38" t="s">
        <v>19</v>
      </c>
      <c r="E86">
        <v>580</v>
      </c>
      <c r="F86">
        <v>6</v>
      </c>
      <c r="G86">
        <v>48</v>
      </c>
    </row>
    <row r="87" spans="1:7" x14ac:dyDescent="0.35">
      <c r="A87" s="37">
        <v>44673</v>
      </c>
      <c r="B87">
        <v>2022</v>
      </c>
      <c r="C87">
        <v>4</v>
      </c>
      <c r="D87" s="38" t="s">
        <v>19</v>
      </c>
      <c r="E87">
        <v>522</v>
      </c>
      <c r="F87">
        <v>6</v>
      </c>
      <c r="G87">
        <v>24</v>
      </c>
    </row>
    <row r="88" spans="1:7" x14ac:dyDescent="0.35">
      <c r="A88" s="37">
        <v>44673</v>
      </c>
      <c r="B88">
        <v>2022</v>
      </c>
      <c r="C88">
        <v>4</v>
      </c>
      <c r="D88" s="38" t="s">
        <v>19</v>
      </c>
      <c r="E88">
        <v>510</v>
      </c>
      <c r="F88">
        <v>6</v>
      </c>
      <c r="G88">
        <v>36</v>
      </c>
    </row>
    <row r="89" spans="1:7" x14ac:dyDescent="0.35">
      <c r="A89" s="37">
        <v>44677</v>
      </c>
      <c r="B89">
        <v>2022</v>
      </c>
      <c r="C89">
        <v>4</v>
      </c>
      <c r="D89" s="38" t="s">
        <v>19</v>
      </c>
      <c r="E89">
        <v>562</v>
      </c>
      <c r="F89">
        <v>5</v>
      </c>
      <c r="G89">
        <v>25</v>
      </c>
    </row>
    <row r="90" spans="1:7" x14ac:dyDescent="0.35">
      <c r="A90" s="37">
        <v>44677</v>
      </c>
      <c r="B90">
        <v>2022</v>
      </c>
      <c r="C90">
        <v>4</v>
      </c>
      <c r="D90" s="38" t="s">
        <v>19</v>
      </c>
      <c r="E90">
        <v>510</v>
      </c>
      <c r="F90">
        <v>6</v>
      </c>
      <c r="G90">
        <v>36</v>
      </c>
    </row>
    <row r="91" spans="1:7" x14ac:dyDescent="0.35">
      <c r="A91" s="37">
        <v>44683</v>
      </c>
      <c r="B91">
        <v>2022</v>
      </c>
      <c r="C91">
        <v>5</v>
      </c>
      <c r="D91" s="38" t="s">
        <v>20</v>
      </c>
      <c r="E91">
        <v>532</v>
      </c>
      <c r="F91">
        <v>2</v>
      </c>
      <c r="G91">
        <v>20</v>
      </c>
    </row>
    <row r="92" spans="1:7" x14ac:dyDescent="0.35">
      <c r="A92" s="37">
        <v>44683</v>
      </c>
      <c r="B92">
        <v>2022</v>
      </c>
      <c r="C92">
        <v>5</v>
      </c>
      <c r="D92" s="38" t="s">
        <v>20</v>
      </c>
      <c r="E92">
        <v>544</v>
      </c>
      <c r="F92">
        <v>3</v>
      </c>
      <c r="G92">
        <v>36</v>
      </c>
    </row>
    <row r="93" spans="1:7" x14ac:dyDescent="0.35">
      <c r="A93" s="37">
        <v>44685</v>
      </c>
      <c r="B93">
        <v>2022</v>
      </c>
      <c r="C93">
        <v>5</v>
      </c>
      <c r="D93" s="38" t="s">
        <v>20</v>
      </c>
      <c r="E93">
        <v>536</v>
      </c>
      <c r="F93">
        <v>5</v>
      </c>
      <c r="G93">
        <v>25</v>
      </c>
    </row>
    <row r="94" spans="1:7" x14ac:dyDescent="0.35">
      <c r="A94" s="37">
        <v>44685</v>
      </c>
      <c r="B94">
        <v>2022</v>
      </c>
      <c r="C94">
        <v>5</v>
      </c>
      <c r="D94" s="38" t="s">
        <v>20</v>
      </c>
      <c r="E94">
        <v>580</v>
      </c>
      <c r="F94">
        <v>3</v>
      </c>
      <c r="G94">
        <v>24</v>
      </c>
    </row>
    <row r="95" spans="1:7" x14ac:dyDescent="0.35">
      <c r="A95" s="37">
        <v>44687</v>
      </c>
      <c r="B95">
        <v>2022</v>
      </c>
      <c r="C95">
        <v>5</v>
      </c>
      <c r="D95" s="38" t="s">
        <v>20</v>
      </c>
      <c r="E95">
        <v>514</v>
      </c>
      <c r="F95">
        <v>7</v>
      </c>
      <c r="G95">
        <v>45.5</v>
      </c>
    </row>
    <row r="96" spans="1:7" x14ac:dyDescent="0.35">
      <c r="A96" s="37">
        <v>44687</v>
      </c>
      <c r="B96">
        <v>2022</v>
      </c>
      <c r="C96">
        <v>5</v>
      </c>
      <c r="D96" s="38" t="s">
        <v>20</v>
      </c>
      <c r="E96">
        <v>548</v>
      </c>
      <c r="F96">
        <v>10</v>
      </c>
      <c r="G96">
        <v>20</v>
      </c>
    </row>
    <row r="97" spans="1:7" x14ac:dyDescent="0.35">
      <c r="A97" s="37">
        <v>44690</v>
      </c>
      <c r="B97">
        <v>2022</v>
      </c>
      <c r="C97">
        <v>5</v>
      </c>
      <c r="D97" s="38" t="s">
        <v>20</v>
      </c>
      <c r="E97">
        <v>540</v>
      </c>
      <c r="F97">
        <v>5</v>
      </c>
      <c r="G97">
        <v>37.5</v>
      </c>
    </row>
    <row r="98" spans="1:7" x14ac:dyDescent="0.35">
      <c r="A98" s="37">
        <v>44690</v>
      </c>
      <c r="B98">
        <v>2022</v>
      </c>
      <c r="C98">
        <v>5</v>
      </c>
      <c r="D98" s="38" t="s">
        <v>20</v>
      </c>
      <c r="E98">
        <v>560</v>
      </c>
      <c r="F98">
        <v>5</v>
      </c>
      <c r="G98">
        <v>40</v>
      </c>
    </row>
    <row r="99" spans="1:7" x14ac:dyDescent="0.35">
      <c r="A99" s="37">
        <v>44697</v>
      </c>
      <c r="B99">
        <v>2022</v>
      </c>
      <c r="C99">
        <v>5</v>
      </c>
      <c r="D99" s="38" t="s">
        <v>20</v>
      </c>
      <c r="E99">
        <v>516</v>
      </c>
      <c r="F99">
        <v>7</v>
      </c>
      <c r="G99">
        <v>31.5</v>
      </c>
    </row>
    <row r="100" spans="1:7" x14ac:dyDescent="0.35">
      <c r="A100" s="37">
        <v>44697</v>
      </c>
      <c r="B100">
        <v>2022</v>
      </c>
      <c r="C100">
        <v>5</v>
      </c>
      <c r="D100" s="38" t="s">
        <v>20</v>
      </c>
      <c r="E100">
        <v>530</v>
      </c>
      <c r="F100">
        <v>5</v>
      </c>
      <c r="G100">
        <v>42.5</v>
      </c>
    </row>
    <row r="101" spans="1:7" x14ac:dyDescent="0.35">
      <c r="A101" s="37">
        <v>44699</v>
      </c>
      <c r="B101">
        <v>2022</v>
      </c>
      <c r="C101">
        <v>5</v>
      </c>
      <c r="D101" s="38" t="s">
        <v>20</v>
      </c>
      <c r="E101">
        <v>518</v>
      </c>
      <c r="F101">
        <v>4</v>
      </c>
      <c r="G101">
        <v>16</v>
      </c>
    </row>
    <row r="102" spans="1:7" x14ac:dyDescent="0.35">
      <c r="A102" s="37">
        <v>44699</v>
      </c>
      <c r="B102">
        <v>2022</v>
      </c>
      <c r="C102">
        <v>5</v>
      </c>
      <c r="D102" s="38" t="s">
        <v>20</v>
      </c>
      <c r="E102">
        <v>524</v>
      </c>
      <c r="F102">
        <v>3</v>
      </c>
      <c r="G102">
        <v>6</v>
      </c>
    </row>
    <row r="103" spans="1:7" x14ac:dyDescent="0.35">
      <c r="A103" s="37">
        <v>44701</v>
      </c>
      <c r="B103">
        <v>2022</v>
      </c>
      <c r="C103">
        <v>5</v>
      </c>
      <c r="D103" s="38" t="s">
        <v>20</v>
      </c>
      <c r="E103">
        <v>520</v>
      </c>
      <c r="F103">
        <v>6</v>
      </c>
      <c r="G103">
        <v>24</v>
      </c>
    </row>
    <row r="104" spans="1:7" x14ac:dyDescent="0.35">
      <c r="A104" s="37">
        <v>44701</v>
      </c>
      <c r="B104">
        <v>2022</v>
      </c>
      <c r="C104">
        <v>5</v>
      </c>
      <c r="D104" s="38" t="s">
        <v>20</v>
      </c>
      <c r="E104">
        <v>580</v>
      </c>
      <c r="F104">
        <v>6</v>
      </c>
      <c r="G104">
        <v>48</v>
      </c>
    </row>
    <row r="105" spans="1:7" x14ac:dyDescent="0.35">
      <c r="A105" s="37">
        <v>44704</v>
      </c>
      <c r="B105">
        <v>2022</v>
      </c>
      <c r="C105">
        <v>5</v>
      </c>
      <c r="D105" s="38" t="s">
        <v>20</v>
      </c>
      <c r="E105">
        <v>522</v>
      </c>
      <c r="F105">
        <v>6</v>
      </c>
      <c r="G105">
        <v>24</v>
      </c>
    </row>
    <row r="106" spans="1:7" x14ac:dyDescent="0.35">
      <c r="A106" s="37">
        <v>44704</v>
      </c>
      <c r="B106">
        <v>2022</v>
      </c>
      <c r="C106">
        <v>5</v>
      </c>
      <c r="D106" s="38" t="s">
        <v>20</v>
      </c>
      <c r="E106">
        <v>510</v>
      </c>
      <c r="F106">
        <v>6</v>
      </c>
      <c r="G106">
        <v>36</v>
      </c>
    </row>
    <row r="107" spans="1:7" x14ac:dyDescent="0.35">
      <c r="A107" s="37">
        <v>44706</v>
      </c>
      <c r="B107">
        <v>2022</v>
      </c>
      <c r="C107">
        <v>5</v>
      </c>
      <c r="D107" s="38" t="s">
        <v>20</v>
      </c>
      <c r="E107">
        <v>562</v>
      </c>
      <c r="F107">
        <v>5</v>
      </c>
      <c r="G107">
        <v>25</v>
      </c>
    </row>
    <row r="108" spans="1:7" x14ac:dyDescent="0.35">
      <c r="A108" s="37">
        <v>44706</v>
      </c>
      <c r="B108">
        <v>2022</v>
      </c>
      <c r="C108">
        <v>5</v>
      </c>
      <c r="D108" s="38" t="s">
        <v>20</v>
      </c>
      <c r="E108">
        <v>510</v>
      </c>
      <c r="F108">
        <v>6</v>
      </c>
      <c r="G108">
        <v>36</v>
      </c>
    </row>
    <row r="109" spans="1:7" x14ac:dyDescent="0.35">
      <c r="A109" s="37">
        <v>44707</v>
      </c>
      <c r="B109">
        <v>2022</v>
      </c>
      <c r="C109">
        <v>5</v>
      </c>
      <c r="D109" s="38" t="s">
        <v>20</v>
      </c>
      <c r="E109">
        <v>532</v>
      </c>
      <c r="F109">
        <v>2</v>
      </c>
      <c r="G109">
        <v>20</v>
      </c>
    </row>
    <row r="110" spans="1:7" x14ac:dyDescent="0.35">
      <c r="A110" s="37">
        <v>44707</v>
      </c>
      <c r="B110">
        <v>2022</v>
      </c>
      <c r="C110">
        <v>5</v>
      </c>
      <c r="D110" s="38" t="s">
        <v>20</v>
      </c>
      <c r="E110">
        <v>544</v>
      </c>
      <c r="F110">
        <v>4</v>
      </c>
      <c r="G110">
        <v>48</v>
      </c>
    </row>
    <row r="111" spans="1:7" x14ac:dyDescent="0.35">
      <c r="A111" s="37">
        <v>44707</v>
      </c>
      <c r="B111">
        <v>2022</v>
      </c>
      <c r="C111">
        <v>5</v>
      </c>
      <c r="D111" s="38" t="s">
        <v>20</v>
      </c>
      <c r="E111">
        <v>536</v>
      </c>
      <c r="F111">
        <v>5</v>
      </c>
      <c r="G111">
        <v>25</v>
      </c>
    </row>
    <row r="112" spans="1:7" x14ac:dyDescent="0.35">
      <c r="A112" s="37">
        <v>44708</v>
      </c>
      <c r="B112">
        <v>2022</v>
      </c>
      <c r="C112">
        <v>5</v>
      </c>
      <c r="D112" s="38" t="s">
        <v>20</v>
      </c>
      <c r="E112">
        <v>580</v>
      </c>
      <c r="F112">
        <v>3</v>
      </c>
      <c r="G112">
        <v>24</v>
      </c>
    </row>
    <row r="113" spans="1:7" x14ac:dyDescent="0.35">
      <c r="A113" s="37">
        <v>44708</v>
      </c>
      <c r="B113">
        <v>2022</v>
      </c>
      <c r="C113">
        <v>5</v>
      </c>
      <c r="D113" s="38" t="s">
        <v>20</v>
      </c>
      <c r="E113">
        <v>514</v>
      </c>
      <c r="F113">
        <v>9</v>
      </c>
      <c r="G113">
        <v>58.5</v>
      </c>
    </row>
    <row r="114" spans="1:7" x14ac:dyDescent="0.35">
      <c r="A114" s="37">
        <v>44713</v>
      </c>
      <c r="B114">
        <v>2022</v>
      </c>
      <c r="C114">
        <v>6</v>
      </c>
      <c r="D114" s="38" t="s">
        <v>21</v>
      </c>
      <c r="E114">
        <v>532</v>
      </c>
      <c r="F114">
        <v>2</v>
      </c>
      <c r="G114">
        <v>20</v>
      </c>
    </row>
    <row r="115" spans="1:7" x14ac:dyDescent="0.35">
      <c r="A115" s="37">
        <v>44713</v>
      </c>
      <c r="B115">
        <v>2022</v>
      </c>
      <c r="C115">
        <v>6</v>
      </c>
      <c r="D115" s="38" t="s">
        <v>21</v>
      </c>
      <c r="E115">
        <v>544</v>
      </c>
      <c r="F115">
        <v>2</v>
      </c>
      <c r="G115">
        <v>24</v>
      </c>
    </row>
    <row r="116" spans="1:7" x14ac:dyDescent="0.35">
      <c r="A116" s="37">
        <v>44715</v>
      </c>
      <c r="B116">
        <v>2022</v>
      </c>
      <c r="C116">
        <v>6</v>
      </c>
      <c r="D116" s="38" t="s">
        <v>21</v>
      </c>
      <c r="E116">
        <v>536</v>
      </c>
      <c r="F116">
        <v>5</v>
      </c>
      <c r="G116">
        <v>25</v>
      </c>
    </row>
    <row r="117" spans="1:7" x14ac:dyDescent="0.35">
      <c r="A117" s="37">
        <v>44718</v>
      </c>
      <c r="B117">
        <v>2022</v>
      </c>
      <c r="C117">
        <v>6</v>
      </c>
      <c r="D117" s="38" t="s">
        <v>21</v>
      </c>
      <c r="E117">
        <v>580</v>
      </c>
      <c r="F117">
        <v>3</v>
      </c>
      <c r="G117">
        <v>24</v>
      </c>
    </row>
    <row r="118" spans="1:7" x14ac:dyDescent="0.35">
      <c r="A118" s="37">
        <v>44718</v>
      </c>
      <c r="B118">
        <v>2022</v>
      </c>
      <c r="C118">
        <v>6</v>
      </c>
      <c r="D118" s="38" t="s">
        <v>21</v>
      </c>
      <c r="E118">
        <v>514</v>
      </c>
      <c r="F118">
        <v>8</v>
      </c>
      <c r="G118">
        <v>52</v>
      </c>
    </row>
    <row r="119" spans="1:7" x14ac:dyDescent="0.35">
      <c r="A119" s="37">
        <v>44720</v>
      </c>
      <c r="B119">
        <v>2022</v>
      </c>
      <c r="C119">
        <v>6</v>
      </c>
      <c r="D119" s="38" t="s">
        <v>21</v>
      </c>
      <c r="E119">
        <v>548</v>
      </c>
      <c r="F119">
        <v>10</v>
      </c>
      <c r="G119">
        <v>20</v>
      </c>
    </row>
    <row r="120" spans="1:7" x14ac:dyDescent="0.35">
      <c r="A120" s="37">
        <v>44720</v>
      </c>
      <c r="B120">
        <v>2022</v>
      </c>
      <c r="C120">
        <v>6</v>
      </c>
      <c r="D120" s="38" t="s">
        <v>21</v>
      </c>
      <c r="E120">
        <v>540</v>
      </c>
      <c r="F120">
        <v>5</v>
      </c>
      <c r="G120">
        <v>37.5</v>
      </c>
    </row>
    <row r="121" spans="1:7" x14ac:dyDescent="0.35">
      <c r="A121" s="37">
        <v>44722</v>
      </c>
      <c r="B121">
        <v>2022</v>
      </c>
      <c r="C121">
        <v>6</v>
      </c>
      <c r="D121" s="38" t="s">
        <v>21</v>
      </c>
      <c r="E121">
        <v>560</v>
      </c>
      <c r="F121">
        <v>5</v>
      </c>
      <c r="G121">
        <v>40</v>
      </c>
    </row>
    <row r="122" spans="1:7" x14ac:dyDescent="0.35">
      <c r="A122" s="37">
        <v>44732</v>
      </c>
      <c r="B122">
        <v>2022</v>
      </c>
      <c r="C122">
        <v>6</v>
      </c>
      <c r="D122" s="38" t="s">
        <v>21</v>
      </c>
      <c r="E122">
        <v>516</v>
      </c>
      <c r="F122">
        <v>7</v>
      </c>
      <c r="G122">
        <v>31.5</v>
      </c>
    </row>
    <row r="123" spans="1:7" x14ac:dyDescent="0.35">
      <c r="A123" s="37">
        <v>44732</v>
      </c>
      <c r="B123">
        <v>2022</v>
      </c>
      <c r="C123">
        <v>6</v>
      </c>
      <c r="D123" s="38" t="s">
        <v>21</v>
      </c>
      <c r="E123">
        <v>530</v>
      </c>
      <c r="F123">
        <v>5</v>
      </c>
      <c r="G123">
        <v>42.5</v>
      </c>
    </row>
    <row r="124" spans="1:7" x14ac:dyDescent="0.35">
      <c r="A124" s="37">
        <v>44734</v>
      </c>
      <c r="B124">
        <v>2022</v>
      </c>
      <c r="C124">
        <v>6</v>
      </c>
      <c r="D124" s="38" t="s">
        <v>21</v>
      </c>
      <c r="E124">
        <v>518</v>
      </c>
      <c r="F124">
        <v>4</v>
      </c>
      <c r="G124">
        <v>16</v>
      </c>
    </row>
    <row r="125" spans="1:7" x14ac:dyDescent="0.35">
      <c r="A125" s="37">
        <v>44734</v>
      </c>
      <c r="B125">
        <v>2022</v>
      </c>
      <c r="C125">
        <v>6</v>
      </c>
      <c r="D125" s="38" t="s">
        <v>21</v>
      </c>
      <c r="E125">
        <v>524</v>
      </c>
      <c r="F125">
        <v>3</v>
      </c>
      <c r="G125">
        <v>6</v>
      </c>
    </row>
    <row r="126" spans="1:7" x14ac:dyDescent="0.35">
      <c r="A126" s="37">
        <v>44736</v>
      </c>
      <c r="B126">
        <v>2022</v>
      </c>
      <c r="C126">
        <v>6</v>
      </c>
      <c r="D126" s="38" t="s">
        <v>21</v>
      </c>
      <c r="E126">
        <v>520</v>
      </c>
      <c r="F126">
        <v>6</v>
      </c>
      <c r="G126">
        <v>24</v>
      </c>
    </row>
    <row r="127" spans="1:7" x14ac:dyDescent="0.35">
      <c r="A127" s="37">
        <v>44736</v>
      </c>
      <c r="B127">
        <v>2022</v>
      </c>
      <c r="C127">
        <v>6</v>
      </c>
      <c r="D127" s="38" t="s">
        <v>21</v>
      </c>
      <c r="E127">
        <v>580</v>
      </c>
      <c r="F127">
        <v>6</v>
      </c>
      <c r="G127">
        <v>48</v>
      </c>
    </row>
    <row r="128" spans="1:7" x14ac:dyDescent="0.35">
      <c r="A128" s="37">
        <v>44739</v>
      </c>
      <c r="B128">
        <v>2022</v>
      </c>
      <c r="C128">
        <v>6</v>
      </c>
      <c r="D128" s="38" t="s">
        <v>21</v>
      </c>
      <c r="E128">
        <v>522</v>
      </c>
      <c r="F128">
        <v>6</v>
      </c>
      <c r="G128">
        <v>24</v>
      </c>
    </row>
    <row r="129" spans="1:7" x14ac:dyDescent="0.35">
      <c r="A129" s="37">
        <v>44739</v>
      </c>
      <c r="B129">
        <v>2022</v>
      </c>
      <c r="C129">
        <v>6</v>
      </c>
      <c r="D129" s="38" t="s">
        <v>21</v>
      </c>
      <c r="E129">
        <v>510</v>
      </c>
      <c r="F129">
        <v>6</v>
      </c>
      <c r="G129">
        <v>36</v>
      </c>
    </row>
    <row r="130" spans="1:7" x14ac:dyDescent="0.35">
      <c r="A130" s="37">
        <v>44741</v>
      </c>
      <c r="B130">
        <v>2022</v>
      </c>
      <c r="C130">
        <v>6</v>
      </c>
      <c r="D130" s="38" t="s">
        <v>21</v>
      </c>
      <c r="E130">
        <v>562</v>
      </c>
      <c r="F130">
        <v>5</v>
      </c>
      <c r="G130">
        <v>25</v>
      </c>
    </row>
    <row r="131" spans="1:7" x14ac:dyDescent="0.35">
      <c r="A131" s="37">
        <v>44741</v>
      </c>
      <c r="B131">
        <v>2022</v>
      </c>
      <c r="C131">
        <v>6</v>
      </c>
      <c r="D131" s="38" t="s">
        <v>21</v>
      </c>
      <c r="E131">
        <v>510</v>
      </c>
      <c r="F131">
        <v>6</v>
      </c>
      <c r="G131">
        <v>36</v>
      </c>
    </row>
    <row r="132" spans="1:7" x14ac:dyDescent="0.35">
      <c r="A132" s="37">
        <v>44742</v>
      </c>
      <c r="B132">
        <v>2022</v>
      </c>
      <c r="C132">
        <v>6</v>
      </c>
      <c r="D132" s="38" t="s">
        <v>21</v>
      </c>
      <c r="E132">
        <v>576</v>
      </c>
      <c r="F132">
        <v>10</v>
      </c>
      <c r="G132">
        <v>125</v>
      </c>
    </row>
    <row r="133" spans="1:7" x14ac:dyDescent="0.35">
      <c r="A133" s="37">
        <v>44742</v>
      </c>
      <c r="B133">
        <v>2022</v>
      </c>
      <c r="C133">
        <v>6</v>
      </c>
      <c r="D133" s="38" t="s">
        <v>21</v>
      </c>
      <c r="E133">
        <v>578</v>
      </c>
      <c r="F133">
        <v>4</v>
      </c>
      <c r="G133">
        <v>62</v>
      </c>
    </row>
    <row r="134" spans="1:7" x14ac:dyDescent="0.35">
      <c r="A134" s="37">
        <v>44742</v>
      </c>
      <c r="B134">
        <v>2022</v>
      </c>
      <c r="C134">
        <v>6</v>
      </c>
      <c r="D134" s="38" t="s">
        <v>21</v>
      </c>
      <c r="E134">
        <v>532</v>
      </c>
      <c r="F134">
        <v>2</v>
      </c>
      <c r="G134">
        <v>20</v>
      </c>
    </row>
    <row r="135" spans="1:7" x14ac:dyDescent="0.35">
      <c r="A135" s="37">
        <v>44742</v>
      </c>
      <c r="B135">
        <v>2022</v>
      </c>
      <c r="C135">
        <v>6</v>
      </c>
      <c r="D135" s="38" t="s">
        <v>21</v>
      </c>
      <c r="E135">
        <v>544</v>
      </c>
      <c r="F135">
        <v>2</v>
      </c>
      <c r="G135">
        <v>24</v>
      </c>
    </row>
    <row r="136" spans="1:7" x14ac:dyDescent="0.35">
      <c r="A136" s="37">
        <v>44745</v>
      </c>
      <c r="B136">
        <v>2022</v>
      </c>
      <c r="C136">
        <v>7</v>
      </c>
      <c r="D136" s="38" t="s">
        <v>22</v>
      </c>
      <c r="E136">
        <v>532</v>
      </c>
      <c r="F136">
        <v>2</v>
      </c>
      <c r="G136">
        <v>20</v>
      </c>
    </row>
    <row r="137" spans="1:7" x14ac:dyDescent="0.35">
      <c r="A137" s="37">
        <v>44745</v>
      </c>
      <c r="B137">
        <v>2022</v>
      </c>
      <c r="C137">
        <v>7</v>
      </c>
      <c r="D137" s="38" t="s">
        <v>22</v>
      </c>
      <c r="E137">
        <v>544</v>
      </c>
      <c r="F137">
        <v>2</v>
      </c>
      <c r="G137">
        <v>24</v>
      </c>
    </row>
    <row r="138" spans="1:7" x14ac:dyDescent="0.35">
      <c r="A138" s="37">
        <v>44747</v>
      </c>
      <c r="B138">
        <v>2022</v>
      </c>
      <c r="C138">
        <v>7</v>
      </c>
      <c r="D138" s="38" t="s">
        <v>22</v>
      </c>
      <c r="E138">
        <v>536</v>
      </c>
      <c r="F138">
        <v>5</v>
      </c>
      <c r="G138">
        <v>25</v>
      </c>
    </row>
    <row r="139" spans="1:7" x14ac:dyDescent="0.35">
      <c r="A139" s="37">
        <v>44747</v>
      </c>
      <c r="B139">
        <v>2022</v>
      </c>
      <c r="C139">
        <v>7</v>
      </c>
      <c r="D139" s="38" t="s">
        <v>22</v>
      </c>
      <c r="E139">
        <v>580</v>
      </c>
      <c r="F139">
        <v>3</v>
      </c>
      <c r="G139">
        <v>24</v>
      </c>
    </row>
    <row r="140" spans="1:7" x14ac:dyDescent="0.35">
      <c r="A140" s="37">
        <v>44749</v>
      </c>
      <c r="B140">
        <v>2022</v>
      </c>
      <c r="C140">
        <v>7</v>
      </c>
      <c r="D140" s="38" t="s">
        <v>22</v>
      </c>
      <c r="E140">
        <v>514</v>
      </c>
      <c r="F140">
        <v>8</v>
      </c>
      <c r="G140">
        <v>52</v>
      </c>
    </row>
    <row r="141" spans="1:7" x14ac:dyDescent="0.35">
      <c r="A141" s="37">
        <v>44749</v>
      </c>
      <c r="B141">
        <v>2022</v>
      </c>
      <c r="C141">
        <v>7</v>
      </c>
      <c r="D141" s="38" t="s">
        <v>22</v>
      </c>
      <c r="E141">
        <v>548</v>
      </c>
      <c r="F141">
        <v>10</v>
      </c>
      <c r="G141">
        <v>20</v>
      </c>
    </row>
    <row r="142" spans="1:7" x14ac:dyDescent="0.35">
      <c r="A142" s="37">
        <v>44752</v>
      </c>
      <c r="B142">
        <v>2022</v>
      </c>
      <c r="C142">
        <v>7</v>
      </c>
      <c r="D142" s="38" t="s">
        <v>22</v>
      </c>
      <c r="E142">
        <v>540</v>
      </c>
      <c r="F142">
        <v>5</v>
      </c>
      <c r="G142">
        <v>37.5</v>
      </c>
    </row>
    <row r="143" spans="1:7" x14ac:dyDescent="0.35">
      <c r="A143" s="37">
        <v>44752</v>
      </c>
      <c r="B143">
        <v>2022</v>
      </c>
      <c r="C143">
        <v>7</v>
      </c>
      <c r="D143" s="38" t="s">
        <v>22</v>
      </c>
      <c r="E143">
        <v>560</v>
      </c>
      <c r="F143">
        <v>5</v>
      </c>
      <c r="G143">
        <v>40</v>
      </c>
    </row>
    <row r="144" spans="1:7" x14ac:dyDescent="0.35">
      <c r="A144" s="37">
        <v>44754</v>
      </c>
      <c r="B144">
        <v>2022</v>
      </c>
      <c r="C144">
        <v>7</v>
      </c>
      <c r="D144" s="38" t="s">
        <v>22</v>
      </c>
      <c r="E144">
        <v>516</v>
      </c>
      <c r="F144">
        <v>7</v>
      </c>
      <c r="G144">
        <v>31.5</v>
      </c>
    </row>
    <row r="145" spans="1:7" x14ac:dyDescent="0.35">
      <c r="A145" s="37">
        <v>44754</v>
      </c>
      <c r="B145">
        <v>2022</v>
      </c>
      <c r="C145">
        <v>7</v>
      </c>
      <c r="D145" s="38" t="s">
        <v>22</v>
      </c>
      <c r="E145">
        <v>530</v>
      </c>
      <c r="F145">
        <v>5</v>
      </c>
      <c r="G145">
        <v>42.5</v>
      </c>
    </row>
    <row r="146" spans="1:7" x14ac:dyDescent="0.35">
      <c r="A146" s="37">
        <v>44756</v>
      </c>
      <c r="B146">
        <v>2022</v>
      </c>
      <c r="C146">
        <v>7</v>
      </c>
      <c r="D146" s="38" t="s">
        <v>22</v>
      </c>
      <c r="E146">
        <v>518</v>
      </c>
      <c r="F146">
        <v>4</v>
      </c>
      <c r="G146">
        <v>16</v>
      </c>
    </row>
    <row r="147" spans="1:7" x14ac:dyDescent="0.35">
      <c r="A147" s="37">
        <v>44756</v>
      </c>
      <c r="B147">
        <v>2022</v>
      </c>
      <c r="C147">
        <v>7</v>
      </c>
      <c r="D147" s="38" t="s">
        <v>22</v>
      </c>
      <c r="E147">
        <v>524</v>
      </c>
      <c r="F147">
        <v>3</v>
      </c>
      <c r="G147">
        <v>6</v>
      </c>
    </row>
    <row r="148" spans="1:7" x14ac:dyDescent="0.35">
      <c r="A148" s="37">
        <v>44766</v>
      </c>
      <c r="B148">
        <v>2022</v>
      </c>
      <c r="C148">
        <v>7</v>
      </c>
      <c r="D148" s="38" t="s">
        <v>22</v>
      </c>
      <c r="E148">
        <v>520</v>
      </c>
      <c r="F148">
        <v>6</v>
      </c>
      <c r="G148">
        <v>24</v>
      </c>
    </row>
    <row r="149" spans="1:7" x14ac:dyDescent="0.35">
      <c r="A149" s="37">
        <v>44766</v>
      </c>
      <c r="B149">
        <v>2022</v>
      </c>
      <c r="C149">
        <v>7</v>
      </c>
      <c r="D149" s="38" t="s">
        <v>22</v>
      </c>
      <c r="E149">
        <v>580</v>
      </c>
      <c r="F149">
        <v>6</v>
      </c>
      <c r="G149">
        <v>48</v>
      </c>
    </row>
    <row r="150" spans="1:7" x14ac:dyDescent="0.35">
      <c r="A150" s="37">
        <v>44768</v>
      </c>
      <c r="B150">
        <v>2022</v>
      </c>
      <c r="C150">
        <v>7</v>
      </c>
      <c r="D150" s="38" t="s">
        <v>22</v>
      </c>
      <c r="E150">
        <v>522</v>
      </c>
      <c r="F150">
        <v>6</v>
      </c>
      <c r="G150">
        <v>24</v>
      </c>
    </row>
    <row r="151" spans="1:7" x14ac:dyDescent="0.35">
      <c r="A151" s="37">
        <v>44768</v>
      </c>
      <c r="B151">
        <v>2022</v>
      </c>
      <c r="C151">
        <v>7</v>
      </c>
      <c r="D151" s="38" t="s">
        <v>22</v>
      </c>
      <c r="E151">
        <v>510</v>
      </c>
      <c r="F151">
        <v>6</v>
      </c>
      <c r="G151">
        <v>36</v>
      </c>
    </row>
    <row r="152" spans="1:7" x14ac:dyDescent="0.35">
      <c r="A152" s="37">
        <v>44770</v>
      </c>
      <c r="B152">
        <v>2022</v>
      </c>
      <c r="C152">
        <v>7</v>
      </c>
      <c r="D152" s="38" t="s">
        <v>22</v>
      </c>
      <c r="E152">
        <v>562</v>
      </c>
      <c r="F152">
        <v>5</v>
      </c>
      <c r="G152">
        <v>25</v>
      </c>
    </row>
    <row r="153" spans="1:7" x14ac:dyDescent="0.35">
      <c r="A153" s="37">
        <v>44770</v>
      </c>
      <c r="B153">
        <v>2022</v>
      </c>
      <c r="C153">
        <v>7</v>
      </c>
      <c r="D153" s="38" t="s">
        <v>22</v>
      </c>
      <c r="E153">
        <v>510</v>
      </c>
      <c r="F153">
        <v>6</v>
      </c>
      <c r="G153">
        <v>36</v>
      </c>
    </row>
    <row r="154" spans="1:7" x14ac:dyDescent="0.35">
      <c r="A154" s="37">
        <v>44771</v>
      </c>
      <c r="B154">
        <v>2022</v>
      </c>
      <c r="C154">
        <v>7</v>
      </c>
      <c r="D154" s="38" t="s">
        <v>22</v>
      </c>
      <c r="E154">
        <v>532</v>
      </c>
      <c r="F154">
        <v>2</v>
      </c>
      <c r="G154">
        <v>20</v>
      </c>
    </row>
    <row r="155" spans="1:7" x14ac:dyDescent="0.35">
      <c r="A155" s="37">
        <v>44771</v>
      </c>
      <c r="B155">
        <v>2022</v>
      </c>
      <c r="C155">
        <v>7</v>
      </c>
      <c r="D155" s="38" t="s">
        <v>22</v>
      </c>
      <c r="E155">
        <v>544</v>
      </c>
      <c r="F155">
        <v>2</v>
      </c>
      <c r="G155">
        <v>24</v>
      </c>
    </row>
    <row r="156" spans="1:7" x14ac:dyDescent="0.35">
      <c r="A156" s="37">
        <v>44771</v>
      </c>
      <c r="B156">
        <v>2022</v>
      </c>
      <c r="C156">
        <v>7</v>
      </c>
      <c r="D156" s="38" t="s">
        <v>22</v>
      </c>
      <c r="E156">
        <v>536</v>
      </c>
      <c r="F156">
        <v>5</v>
      </c>
      <c r="G156">
        <v>25</v>
      </c>
    </row>
    <row r="157" spans="1:7" x14ac:dyDescent="0.35">
      <c r="A157" s="37">
        <v>44771</v>
      </c>
      <c r="B157">
        <v>2022</v>
      </c>
      <c r="C157">
        <v>7</v>
      </c>
      <c r="D157" s="38" t="s">
        <v>22</v>
      </c>
      <c r="E157">
        <v>580</v>
      </c>
      <c r="F157">
        <v>3</v>
      </c>
      <c r="G157">
        <v>24</v>
      </c>
    </row>
    <row r="158" spans="1:7" x14ac:dyDescent="0.35">
      <c r="A158" s="37">
        <v>44774</v>
      </c>
      <c r="B158">
        <v>2022</v>
      </c>
      <c r="C158">
        <v>8</v>
      </c>
      <c r="D158" s="38" t="s">
        <v>23</v>
      </c>
      <c r="E158">
        <v>532</v>
      </c>
      <c r="F158">
        <v>2</v>
      </c>
      <c r="G158">
        <v>20</v>
      </c>
    </row>
    <row r="159" spans="1:7" x14ac:dyDescent="0.35">
      <c r="A159" s="37">
        <v>44774</v>
      </c>
      <c r="B159">
        <v>2022</v>
      </c>
      <c r="C159">
        <v>8</v>
      </c>
      <c r="D159" s="38" t="s">
        <v>23</v>
      </c>
      <c r="E159">
        <v>544</v>
      </c>
      <c r="F159">
        <v>2</v>
      </c>
      <c r="G159">
        <v>24</v>
      </c>
    </row>
    <row r="160" spans="1:7" x14ac:dyDescent="0.35">
      <c r="A160" s="37">
        <v>44776</v>
      </c>
      <c r="B160">
        <v>2022</v>
      </c>
      <c r="C160">
        <v>8</v>
      </c>
      <c r="D160" s="38" t="s">
        <v>23</v>
      </c>
      <c r="E160">
        <v>536</v>
      </c>
      <c r="F160">
        <v>5</v>
      </c>
      <c r="G160">
        <v>25</v>
      </c>
    </row>
    <row r="161" spans="1:7" x14ac:dyDescent="0.35">
      <c r="A161" s="37">
        <v>44776</v>
      </c>
      <c r="B161">
        <v>2022</v>
      </c>
      <c r="C161">
        <v>8</v>
      </c>
      <c r="D161" s="38" t="s">
        <v>23</v>
      </c>
      <c r="E161">
        <v>580</v>
      </c>
      <c r="F161">
        <v>3</v>
      </c>
      <c r="G161">
        <v>24</v>
      </c>
    </row>
    <row r="162" spans="1:7" x14ac:dyDescent="0.35">
      <c r="A162" s="37">
        <v>44778</v>
      </c>
      <c r="B162">
        <v>2022</v>
      </c>
      <c r="C162">
        <v>8</v>
      </c>
      <c r="D162" s="38" t="s">
        <v>23</v>
      </c>
      <c r="E162">
        <v>514</v>
      </c>
      <c r="F162">
        <v>9</v>
      </c>
      <c r="G162">
        <v>58.5</v>
      </c>
    </row>
    <row r="163" spans="1:7" x14ac:dyDescent="0.35">
      <c r="A163" s="37">
        <v>44778</v>
      </c>
      <c r="B163">
        <v>2022</v>
      </c>
      <c r="C163">
        <v>8</v>
      </c>
      <c r="D163" s="38" t="s">
        <v>23</v>
      </c>
      <c r="E163">
        <v>548</v>
      </c>
      <c r="F163">
        <v>10</v>
      </c>
      <c r="G163">
        <v>20</v>
      </c>
    </row>
    <row r="164" spans="1:7" x14ac:dyDescent="0.35">
      <c r="A164" s="37">
        <v>44781</v>
      </c>
      <c r="B164">
        <v>2022</v>
      </c>
      <c r="C164">
        <v>8</v>
      </c>
      <c r="D164" s="38" t="s">
        <v>23</v>
      </c>
      <c r="E164">
        <v>540</v>
      </c>
      <c r="F164">
        <v>5</v>
      </c>
      <c r="G164">
        <v>37.5</v>
      </c>
    </row>
    <row r="165" spans="1:7" x14ac:dyDescent="0.35">
      <c r="A165" s="37">
        <v>44781</v>
      </c>
      <c r="B165">
        <v>2022</v>
      </c>
      <c r="C165">
        <v>8</v>
      </c>
      <c r="D165" s="38" t="s">
        <v>23</v>
      </c>
      <c r="E165">
        <v>560</v>
      </c>
      <c r="F165">
        <v>5</v>
      </c>
      <c r="G165">
        <v>40</v>
      </c>
    </row>
    <row r="166" spans="1:7" x14ac:dyDescent="0.35">
      <c r="A166" s="37">
        <v>44783</v>
      </c>
      <c r="B166">
        <v>2022</v>
      </c>
      <c r="C166">
        <v>8</v>
      </c>
      <c r="D166" s="38" t="s">
        <v>23</v>
      </c>
      <c r="E166">
        <v>516</v>
      </c>
      <c r="F166">
        <v>7</v>
      </c>
      <c r="G166">
        <v>31.5</v>
      </c>
    </row>
    <row r="167" spans="1:7" x14ac:dyDescent="0.35">
      <c r="A167" s="37">
        <v>44783</v>
      </c>
      <c r="B167">
        <v>2022</v>
      </c>
      <c r="C167">
        <v>8</v>
      </c>
      <c r="D167" s="38" t="s">
        <v>23</v>
      </c>
      <c r="E167">
        <v>530</v>
      </c>
      <c r="F167">
        <v>5</v>
      </c>
      <c r="G167">
        <v>42.5</v>
      </c>
    </row>
    <row r="168" spans="1:7" x14ac:dyDescent="0.35">
      <c r="A168" s="37">
        <v>44785</v>
      </c>
      <c r="B168">
        <v>2022</v>
      </c>
      <c r="C168">
        <v>8</v>
      </c>
      <c r="D168" s="38" t="s">
        <v>23</v>
      </c>
      <c r="E168">
        <v>518</v>
      </c>
      <c r="F168">
        <v>4</v>
      </c>
      <c r="G168">
        <v>16</v>
      </c>
    </row>
    <row r="169" spans="1:7" x14ac:dyDescent="0.35">
      <c r="A169" s="37">
        <v>44785</v>
      </c>
      <c r="B169">
        <v>2022</v>
      </c>
      <c r="C169">
        <v>8</v>
      </c>
      <c r="D169" s="38" t="s">
        <v>23</v>
      </c>
      <c r="E169">
        <v>524</v>
      </c>
      <c r="F169">
        <v>3</v>
      </c>
      <c r="G169">
        <v>6</v>
      </c>
    </row>
    <row r="170" spans="1:7" x14ac:dyDescent="0.35">
      <c r="A170" s="37">
        <v>44795</v>
      </c>
      <c r="B170">
        <v>2022</v>
      </c>
      <c r="C170">
        <v>8</v>
      </c>
      <c r="D170" s="38" t="s">
        <v>23</v>
      </c>
      <c r="E170">
        <v>520</v>
      </c>
      <c r="F170">
        <v>6</v>
      </c>
      <c r="G170">
        <v>24</v>
      </c>
    </row>
    <row r="171" spans="1:7" x14ac:dyDescent="0.35">
      <c r="A171" s="37">
        <v>44795</v>
      </c>
      <c r="B171">
        <v>2022</v>
      </c>
      <c r="C171">
        <v>8</v>
      </c>
      <c r="D171" s="38" t="s">
        <v>23</v>
      </c>
      <c r="E171">
        <v>580</v>
      </c>
      <c r="F171">
        <v>4</v>
      </c>
      <c r="G171">
        <v>32</v>
      </c>
    </row>
    <row r="172" spans="1:7" x14ac:dyDescent="0.35">
      <c r="A172" s="37">
        <v>44796</v>
      </c>
      <c r="B172">
        <v>2022</v>
      </c>
      <c r="C172">
        <v>8</v>
      </c>
      <c r="D172" s="38" t="s">
        <v>23</v>
      </c>
      <c r="E172">
        <v>510</v>
      </c>
      <c r="F172">
        <v>6</v>
      </c>
      <c r="G172">
        <v>36</v>
      </c>
    </row>
    <row r="173" spans="1:7" x14ac:dyDescent="0.35">
      <c r="A173" s="37">
        <v>44796</v>
      </c>
      <c r="B173">
        <v>2022</v>
      </c>
      <c r="C173">
        <v>8</v>
      </c>
      <c r="D173" s="38" t="s">
        <v>23</v>
      </c>
      <c r="E173">
        <v>532</v>
      </c>
      <c r="F173">
        <v>2</v>
      </c>
      <c r="G173">
        <v>20</v>
      </c>
    </row>
    <row r="174" spans="1:7" x14ac:dyDescent="0.35">
      <c r="A174" s="37">
        <v>44796</v>
      </c>
      <c r="B174">
        <v>2022</v>
      </c>
      <c r="C174">
        <v>8</v>
      </c>
      <c r="D174" s="38" t="s">
        <v>23</v>
      </c>
      <c r="E174">
        <v>544</v>
      </c>
      <c r="F174">
        <v>2</v>
      </c>
      <c r="G174">
        <v>24</v>
      </c>
    </row>
    <row r="175" spans="1:7" x14ac:dyDescent="0.35">
      <c r="A175" s="37">
        <v>44796</v>
      </c>
      <c r="B175">
        <v>2022</v>
      </c>
      <c r="C175">
        <v>8</v>
      </c>
      <c r="D175" s="38" t="s">
        <v>23</v>
      </c>
      <c r="E175">
        <v>536</v>
      </c>
      <c r="F175">
        <v>5</v>
      </c>
      <c r="G175">
        <v>25</v>
      </c>
    </row>
    <row r="176" spans="1:7" x14ac:dyDescent="0.35">
      <c r="A176" s="37">
        <v>44796</v>
      </c>
      <c r="B176">
        <v>2022</v>
      </c>
      <c r="C176">
        <v>8</v>
      </c>
      <c r="D176" s="38" t="s">
        <v>23</v>
      </c>
      <c r="E176">
        <v>580</v>
      </c>
      <c r="F176">
        <v>3</v>
      </c>
      <c r="G176">
        <v>24</v>
      </c>
    </row>
    <row r="177" spans="1:7" x14ac:dyDescent="0.35">
      <c r="A177" s="37">
        <v>44797</v>
      </c>
      <c r="B177">
        <v>2022</v>
      </c>
      <c r="C177">
        <v>8</v>
      </c>
      <c r="D177" s="38" t="s">
        <v>23</v>
      </c>
      <c r="E177">
        <v>522</v>
      </c>
      <c r="F177">
        <v>6</v>
      </c>
      <c r="G177">
        <v>24</v>
      </c>
    </row>
    <row r="178" spans="1:7" x14ac:dyDescent="0.35">
      <c r="A178" s="37">
        <v>44797</v>
      </c>
      <c r="B178">
        <v>2022</v>
      </c>
      <c r="C178">
        <v>8</v>
      </c>
      <c r="D178" s="38" t="s">
        <v>23</v>
      </c>
      <c r="E178">
        <v>510</v>
      </c>
      <c r="F178">
        <v>6</v>
      </c>
      <c r="G178">
        <v>36</v>
      </c>
    </row>
    <row r="179" spans="1:7" x14ac:dyDescent="0.35">
      <c r="A179" s="37">
        <v>44799</v>
      </c>
      <c r="B179">
        <v>2022</v>
      </c>
      <c r="C179">
        <v>8</v>
      </c>
      <c r="D179" s="38" t="s">
        <v>23</v>
      </c>
      <c r="E179">
        <v>562</v>
      </c>
      <c r="F179">
        <v>5</v>
      </c>
      <c r="G179">
        <v>25</v>
      </c>
    </row>
    <row r="180" spans="1:7" x14ac:dyDescent="0.35">
      <c r="A180" s="37">
        <v>44799</v>
      </c>
      <c r="B180">
        <v>2022</v>
      </c>
      <c r="C180">
        <v>8</v>
      </c>
      <c r="D180" s="38" t="s">
        <v>23</v>
      </c>
      <c r="E180">
        <v>510</v>
      </c>
      <c r="F180">
        <v>6</v>
      </c>
      <c r="G180">
        <v>36</v>
      </c>
    </row>
    <row r="181" spans="1:7" x14ac:dyDescent="0.35">
      <c r="A181" s="37">
        <v>44809</v>
      </c>
      <c r="B181">
        <v>2022</v>
      </c>
      <c r="C181">
        <v>9</v>
      </c>
      <c r="D181" s="38" t="s">
        <v>24</v>
      </c>
      <c r="E181">
        <v>532</v>
      </c>
      <c r="F181">
        <v>2</v>
      </c>
      <c r="G181">
        <v>20</v>
      </c>
    </row>
    <row r="182" spans="1:7" x14ac:dyDescent="0.35">
      <c r="A182" s="37">
        <v>44809</v>
      </c>
      <c r="B182">
        <v>2022</v>
      </c>
      <c r="C182">
        <v>9</v>
      </c>
      <c r="D182" s="38" t="s">
        <v>24</v>
      </c>
      <c r="E182">
        <v>544</v>
      </c>
      <c r="F182">
        <v>3</v>
      </c>
      <c r="G182">
        <v>36</v>
      </c>
    </row>
    <row r="183" spans="1:7" x14ac:dyDescent="0.35">
      <c r="A183" s="37">
        <v>44811</v>
      </c>
      <c r="B183">
        <v>2022</v>
      </c>
      <c r="C183">
        <v>9</v>
      </c>
      <c r="D183" s="38" t="s">
        <v>24</v>
      </c>
      <c r="E183">
        <v>536</v>
      </c>
      <c r="F183">
        <v>5</v>
      </c>
      <c r="G183">
        <v>25</v>
      </c>
    </row>
    <row r="184" spans="1:7" x14ac:dyDescent="0.35">
      <c r="A184" s="37">
        <v>44811</v>
      </c>
      <c r="B184">
        <v>2022</v>
      </c>
      <c r="C184">
        <v>9</v>
      </c>
      <c r="D184" s="38" t="s">
        <v>24</v>
      </c>
      <c r="E184">
        <v>580</v>
      </c>
      <c r="F184">
        <v>3</v>
      </c>
      <c r="G184">
        <v>24</v>
      </c>
    </row>
    <row r="185" spans="1:7" x14ac:dyDescent="0.35">
      <c r="A185" s="37">
        <v>44813</v>
      </c>
      <c r="B185">
        <v>2022</v>
      </c>
      <c r="C185">
        <v>9</v>
      </c>
      <c r="D185" s="38" t="s">
        <v>24</v>
      </c>
      <c r="E185">
        <v>514</v>
      </c>
      <c r="F185">
        <v>7</v>
      </c>
      <c r="G185">
        <v>45.5</v>
      </c>
    </row>
    <row r="186" spans="1:7" x14ac:dyDescent="0.35">
      <c r="A186" s="37">
        <v>44813</v>
      </c>
      <c r="B186">
        <v>2022</v>
      </c>
      <c r="C186">
        <v>9</v>
      </c>
      <c r="D186" s="38" t="s">
        <v>24</v>
      </c>
      <c r="E186">
        <v>548</v>
      </c>
      <c r="F186">
        <v>10</v>
      </c>
      <c r="G186">
        <v>20</v>
      </c>
    </row>
    <row r="187" spans="1:7" x14ac:dyDescent="0.35">
      <c r="A187" s="37">
        <v>44816</v>
      </c>
      <c r="B187">
        <v>2022</v>
      </c>
      <c r="C187">
        <v>9</v>
      </c>
      <c r="D187" s="38" t="s">
        <v>24</v>
      </c>
      <c r="E187">
        <v>540</v>
      </c>
      <c r="F187">
        <v>5</v>
      </c>
      <c r="G187">
        <v>37.5</v>
      </c>
    </row>
    <row r="188" spans="1:7" x14ac:dyDescent="0.35">
      <c r="A188" s="37">
        <v>44816</v>
      </c>
      <c r="B188">
        <v>2022</v>
      </c>
      <c r="C188">
        <v>9</v>
      </c>
      <c r="D188" s="38" t="s">
        <v>24</v>
      </c>
      <c r="E188">
        <v>560</v>
      </c>
      <c r="F188">
        <v>5</v>
      </c>
      <c r="G188">
        <v>40</v>
      </c>
    </row>
    <row r="189" spans="1:7" x14ac:dyDescent="0.35">
      <c r="A189" s="37">
        <v>44818</v>
      </c>
      <c r="B189">
        <v>2022</v>
      </c>
      <c r="C189">
        <v>9</v>
      </c>
      <c r="D189" s="38" t="s">
        <v>24</v>
      </c>
      <c r="E189">
        <v>516</v>
      </c>
      <c r="F189">
        <v>7</v>
      </c>
      <c r="G189">
        <v>31.5</v>
      </c>
    </row>
    <row r="190" spans="1:7" x14ac:dyDescent="0.35">
      <c r="A190" s="37">
        <v>44818</v>
      </c>
      <c r="B190">
        <v>2022</v>
      </c>
      <c r="C190">
        <v>9</v>
      </c>
      <c r="D190" s="38" t="s">
        <v>24</v>
      </c>
      <c r="E190">
        <v>530</v>
      </c>
      <c r="F190">
        <v>5</v>
      </c>
      <c r="G190">
        <v>42.5</v>
      </c>
    </row>
    <row r="191" spans="1:7" x14ac:dyDescent="0.35">
      <c r="A191" s="37">
        <v>44820</v>
      </c>
      <c r="B191">
        <v>2022</v>
      </c>
      <c r="C191">
        <v>9</v>
      </c>
      <c r="D191" s="38" t="s">
        <v>24</v>
      </c>
      <c r="E191">
        <v>518</v>
      </c>
      <c r="F191">
        <v>4</v>
      </c>
      <c r="G191">
        <v>16</v>
      </c>
    </row>
    <row r="192" spans="1:7" x14ac:dyDescent="0.35">
      <c r="A192" s="37">
        <v>44820</v>
      </c>
      <c r="B192">
        <v>2022</v>
      </c>
      <c r="C192">
        <v>9</v>
      </c>
      <c r="D192" s="38" t="s">
        <v>24</v>
      </c>
      <c r="E192">
        <v>524</v>
      </c>
      <c r="F192">
        <v>3</v>
      </c>
      <c r="G192">
        <v>6</v>
      </c>
    </row>
    <row r="193" spans="1:7" x14ac:dyDescent="0.35">
      <c r="A193" s="37">
        <v>44830</v>
      </c>
      <c r="B193">
        <v>2022</v>
      </c>
      <c r="C193">
        <v>9</v>
      </c>
      <c r="D193" s="38" t="s">
        <v>24</v>
      </c>
      <c r="E193">
        <v>520</v>
      </c>
      <c r="F193">
        <v>6</v>
      </c>
      <c r="G193">
        <v>24</v>
      </c>
    </row>
    <row r="194" spans="1:7" x14ac:dyDescent="0.35">
      <c r="A194" s="37">
        <v>44830</v>
      </c>
      <c r="B194">
        <v>2022</v>
      </c>
      <c r="C194">
        <v>9</v>
      </c>
      <c r="D194" s="38" t="s">
        <v>24</v>
      </c>
      <c r="E194">
        <v>542</v>
      </c>
      <c r="F194">
        <v>4</v>
      </c>
      <c r="G194">
        <v>40</v>
      </c>
    </row>
    <row r="195" spans="1:7" x14ac:dyDescent="0.35">
      <c r="A195" s="37">
        <v>44832</v>
      </c>
      <c r="B195">
        <v>2022</v>
      </c>
      <c r="C195">
        <v>9</v>
      </c>
      <c r="D195" s="38" t="s">
        <v>24</v>
      </c>
      <c r="E195">
        <v>522</v>
      </c>
      <c r="F195">
        <v>6</v>
      </c>
      <c r="G195">
        <v>24</v>
      </c>
    </row>
    <row r="196" spans="1:7" x14ac:dyDescent="0.35">
      <c r="A196" s="37">
        <v>44832</v>
      </c>
      <c r="B196">
        <v>2022</v>
      </c>
      <c r="C196">
        <v>9</v>
      </c>
      <c r="D196" s="38" t="s">
        <v>24</v>
      </c>
      <c r="E196">
        <v>510</v>
      </c>
      <c r="F196">
        <v>6</v>
      </c>
      <c r="G196">
        <v>36</v>
      </c>
    </row>
    <row r="197" spans="1:7" x14ac:dyDescent="0.35">
      <c r="A197" s="37">
        <v>44834</v>
      </c>
      <c r="B197">
        <v>2022</v>
      </c>
      <c r="C197">
        <v>9</v>
      </c>
      <c r="D197" s="38" t="s">
        <v>24</v>
      </c>
      <c r="E197">
        <v>562</v>
      </c>
      <c r="F197">
        <v>5</v>
      </c>
      <c r="G197">
        <v>25</v>
      </c>
    </row>
    <row r="198" spans="1:7" x14ac:dyDescent="0.35">
      <c r="A198" s="37">
        <v>44834</v>
      </c>
      <c r="B198">
        <v>2022</v>
      </c>
      <c r="C198">
        <v>9</v>
      </c>
      <c r="D198" s="38" t="s">
        <v>24</v>
      </c>
      <c r="E198">
        <v>510</v>
      </c>
      <c r="F198">
        <v>6</v>
      </c>
      <c r="G198">
        <v>36</v>
      </c>
    </row>
    <row r="199" spans="1:7" x14ac:dyDescent="0.35">
      <c r="A199" s="37">
        <v>44837</v>
      </c>
      <c r="B199">
        <v>2022</v>
      </c>
      <c r="C199">
        <v>10</v>
      </c>
      <c r="D199" s="38" t="s">
        <v>25</v>
      </c>
      <c r="E199">
        <v>532</v>
      </c>
      <c r="F199">
        <v>3</v>
      </c>
      <c r="G199">
        <v>30</v>
      </c>
    </row>
    <row r="200" spans="1:7" x14ac:dyDescent="0.35">
      <c r="A200" s="37">
        <v>44837</v>
      </c>
      <c r="B200">
        <v>2022</v>
      </c>
      <c r="C200">
        <v>10</v>
      </c>
      <c r="D200" s="38" t="s">
        <v>25</v>
      </c>
      <c r="E200">
        <v>544</v>
      </c>
      <c r="F200">
        <v>4</v>
      </c>
      <c r="G200">
        <v>48</v>
      </c>
    </row>
    <row r="201" spans="1:7" x14ac:dyDescent="0.35">
      <c r="A201" s="37">
        <v>44839</v>
      </c>
      <c r="B201">
        <v>2022</v>
      </c>
      <c r="C201">
        <v>10</v>
      </c>
      <c r="D201" s="38" t="s">
        <v>25</v>
      </c>
      <c r="E201">
        <v>536</v>
      </c>
      <c r="F201">
        <v>5</v>
      </c>
      <c r="G201">
        <v>25</v>
      </c>
    </row>
    <row r="202" spans="1:7" x14ac:dyDescent="0.35">
      <c r="A202" s="37">
        <v>44839</v>
      </c>
      <c r="B202">
        <v>2022</v>
      </c>
      <c r="C202">
        <v>10</v>
      </c>
      <c r="D202" s="38" t="s">
        <v>25</v>
      </c>
      <c r="E202">
        <v>542</v>
      </c>
      <c r="F202">
        <v>1</v>
      </c>
      <c r="G202">
        <v>10</v>
      </c>
    </row>
    <row r="203" spans="1:7" x14ac:dyDescent="0.35">
      <c r="A203" s="37">
        <v>44841</v>
      </c>
      <c r="B203">
        <v>2022</v>
      </c>
      <c r="C203">
        <v>10</v>
      </c>
      <c r="D203" s="38" t="s">
        <v>25</v>
      </c>
      <c r="E203">
        <v>514</v>
      </c>
      <c r="F203">
        <v>6</v>
      </c>
      <c r="G203">
        <v>39</v>
      </c>
    </row>
    <row r="204" spans="1:7" x14ac:dyDescent="0.35">
      <c r="A204" s="37">
        <v>44841</v>
      </c>
      <c r="B204">
        <v>2022</v>
      </c>
      <c r="C204">
        <v>10</v>
      </c>
      <c r="D204" s="38" t="s">
        <v>25</v>
      </c>
      <c r="E204">
        <v>548</v>
      </c>
      <c r="F204">
        <v>10</v>
      </c>
      <c r="G204">
        <v>20</v>
      </c>
    </row>
    <row r="205" spans="1:7" x14ac:dyDescent="0.35">
      <c r="A205" s="37">
        <v>44842</v>
      </c>
      <c r="B205">
        <v>2022</v>
      </c>
      <c r="C205">
        <v>10</v>
      </c>
      <c r="D205" s="38" t="s">
        <v>25</v>
      </c>
      <c r="E205">
        <v>580</v>
      </c>
      <c r="F205">
        <v>7</v>
      </c>
      <c r="G205">
        <v>56</v>
      </c>
    </row>
    <row r="206" spans="1:7" x14ac:dyDescent="0.35">
      <c r="A206" s="37">
        <v>44842</v>
      </c>
      <c r="B206">
        <v>2022</v>
      </c>
      <c r="C206">
        <v>10</v>
      </c>
      <c r="D206" s="38" t="s">
        <v>25</v>
      </c>
      <c r="E206">
        <v>522</v>
      </c>
      <c r="F206">
        <v>5</v>
      </c>
      <c r="G206">
        <v>20</v>
      </c>
    </row>
    <row r="207" spans="1:7" x14ac:dyDescent="0.35">
      <c r="A207" s="37">
        <v>44842</v>
      </c>
      <c r="B207">
        <v>2022</v>
      </c>
      <c r="C207">
        <v>10</v>
      </c>
      <c r="D207" s="38" t="s">
        <v>25</v>
      </c>
      <c r="E207">
        <v>524</v>
      </c>
      <c r="F207">
        <v>3</v>
      </c>
      <c r="G207">
        <v>6</v>
      </c>
    </row>
    <row r="208" spans="1:7" x14ac:dyDescent="0.35">
      <c r="A208" s="37">
        <v>44842</v>
      </c>
      <c r="B208">
        <v>2022</v>
      </c>
      <c r="C208">
        <v>10</v>
      </c>
      <c r="D208" s="38" t="s">
        <v>25</v>
      </c>
      <c r="E208">
        <v>530</v>
      </c>
      <c r="F208">
        <v>6</v>
      </c>
      <c r="G208">
        <v>51</v>
      </c>
    </row>
    <row r="209" spans="1:7" x14ac:dyDescent="0.35">
      <c r="A209" s="37">
        <v>44842</v>
      </c>
      <c r="B209">
        <v>2022</v>
      </c>
      <c r="C209">
        <v>10</v>
      </c>
      <c r="D209" s="38" t="s">
        <v>25</v>
      </c>
      <c r="E209">
        <v>540</v>
      </c>
      <c r="F209">
        <v>5</v>
      </c>
      <c r="G209">
        <v>37.5</v>
      </c>
    </row>
    <row r="210" spans="1:7" x14ac:dyDescent="0.35">
      <c r="A210" s="37">
        <v>44844</v>
      </c>
      <c r="B210">
        <v>2022</v>
      </c>
      <c r="C210">
        <v>10</v>
      </c>
      <c r="D210" s="38" t="s">
        <v>25</v>
      </c>
      <c r="E210">
        <v>540</v>
      </c>
      <c r="F210">
        <v>5</v>
      </c>
      <c r="G210">
        <v>37.5</v>
      </c>
    </row>
    <row r="211" spans="1:7" x14ac:dyDescent="0.35">
      <c r="A211" s="37">
        <v>44844</v>
      </c>
      <c r="B211">
        <v>2022</v>
      </c>
      <c r="C211">
        <v>10</v>
      </c>
      <c r="D211" s="38" t="s">
        <v>25</v>
      </c>
      <c r="E211">
        <v>560</v>
      </c>
      <c r="F211">
        <v>5</v>
      </c>
      <c r="G211">
        <v>40</v>
      </c>
    </row>
    <row r="212" spans="1:7" x14ac:dyDescent="0.35">
      <c r="A212" s="37">
        <v>44846</v>
      </c>
      <c r="B212">
        <v>2022</v>
      </c>
      <c r="C212">
        <v>10</v>
      </c>
      <c r="D212" s="38" t="s">
        <v>25</v>
      </c>
      <c r="E212">
        <v>516</v>
      </c>
      <c r="F212">
        <v>7</v>
      </c>
      <c r="G212">
        <v>31.5</v>
      </c>
    </row>
    <row r="213" spans="1:7" x14ac:dyDescent="0.35">
      <c r="A213" s="37">
        <v>44846</v>
      </c>
      <c r="B213">
        <v>2022</v>
      </c>
      <c r="C213">
        <v>10</v>
      </c>
      <c r="D213" s="38" t="s">
        <v>25</v>
      </c>
      <c r="E213">
        <v>530</v>
      </c>
      <c r="F213">
        <v>5</v>
      </c>
      <c r="G213">
        <v>42.5</v>
      </c>
    </row>
    <row r="214" spans="1:7" x14ac:dyDescent="0.35">
      <c r="A214" s="37">
        <v>44848</v>
      </c>
      <c r="B214">
        <v>2022</v>
      </c>
      <c r="C214">
        <v>10</v>
      </c>
      <c r="D214" s="38" t="s">
        <v>25</v>
      </c>
      <c r="E214">
        <v>518</v>
      </c>
      <c r="F214">
        <v>4</v>
      </c>
      <c r="G214">
        <v>16</v>
      </c>
    </row>
    <row r="215" spans="1:7" x14ac:dyDescent="0.35">
      <c r="A215" s="37">
        <v>44848</v>
      </c>
      <c r="B215">
        <v>2022</v>
      </c>
      <c r="C215">
        <v>10</v>
      </c>
      <c r="D215" s="38" t="s">
        <v>25</v>
      </c>
      <c r="E215">
        <v>524</v>
      </c>
      <c r="F215">
        <v>3</v>
      </c>
      <c r="G215">
        <v>6</v>
      </c>
    </row>
    <row r="216" spans="1:7" x14ac:dyDescent="0.35">
      <c r="A216" s="37">
        <v>44858</v>
      </c>
      <c r="B216">
        <v>2022</v>
      </c>
      <c r="C216">
        <v>10</v>
      </c>
      <c r="D216" s="38" t="s">
        <v>25</v>
      </c>
      <c r="E216">
        <v>520</v>
      </c>
      <c r="F216">
        <v>6</v>
      </c>
      <c r="G216">
        <v>24</v>
      </c>
    </row>
    <row r="217" spans="1:7" x14ac:dyDescent="0.35">
      <c r="A217" s="37">
        <v>44858</v>
      </c>
      <c r="B217">
        <v>2022</v>
      </c>
      <c r="C217">
        <v>10</v>
      </c>
      <c r="D217" s="38" t="s">
        <v>25</v>
      </c>
      <c r="E217">
        <v>542</v>
      </c>
      <c r="F217">
        <v>3</v>
      </c>
      <c r="G217">
        <v>30</v>
      </c>
    </row>
    <row r="218" spans="1:7" x14ac:dyDescent="0.35">
      <c r="A218" s="37">
        <v>44860</v>
      </c>
      <c r="B218">
        <v>2022</v>
      </c>
      <c r="C218">
        <v>10</v>
      </c>
      <c r="D218" s="38" t="s">
        <v>25</v>
      </c>
      <c r="E218">
        <v>522</v>
      </c>
      <c r="F218">
        <v>6</v>
      </c>
      <c r="G218">
        <v>24</v>
      </c>
    </row>
    <row r="219" spans="1:7" x14ac:dyDescent="0.35">
      <c r="A219" s="37">
        <v>44860</v>
      </c>
      <c r="B219">
        <v>2022</v>
      </c>
      <c r="C219">
        <v>10</v>
      </c>
      <c r="D219" s="38" t="s">
        <v>25</v>
      </c>
      <c r="E219">
        <v>510</v>
      </c>
      <c r="F219">
        <v>6</v>
      </c>
      <c r="G219">
        <v>36</v>
      </c>
    </row>
    <row r="220" spans="1:7" x14ac:dyDescent="0.35">
      <c r="A220" s="37">
        <v>44862</v>
      </c>
      <c r="B220">
        <v>2022</v>
      </c>
      <c r="C220">
        <v>10</v>
      </c>
      <c r="D220" s="38" t="s">
        <v>25</v>
      </c>
      <c r="E220">
        <v>562</v>
      </c>
      <c r="F220">
        <v>5</v>
      </c>
      <c r="G220">
        <v>25</v>
      </c>
    </row>
    <row r="221" spans="1:7" x14ac:dyDescent="0.35">
      <c r="A221" s="37">
        <v>44862</v>
      </c>
      <c r="B221">
        <v>2022</v>
      </c>
      <c r="C221">
        <v>10</v>
      </c>
      <c r="D221" s="38" t="s">
        <v>25</v>
      </c>
      <c r="E221">
        <v>510</v>
      </c>
      <c r="F221">
        <v>6</v>
      </c>
      <c r="G221">
        <v>36</v>
      </c>
    </row>
    <row r="222" spans="1:7" x14ac:dyDescent="0.35">
      <c r="A222" s="37">
        <v>44866</v>
      </c>
      <c r="B222">
        <v>2022</v>
      </c>
      <c r="C222">
        <v>11</v>
      </c>
      <c r="D222" s="38" t="s">
        <v>26</v>
      </c>
      <c r="E222">
        <v>532</v>
      </c>
      <c r="F222">
        <v>1</v>
      </c>
      <c r="G222">
        <v>10</v>
      </c>
    </row>
    <row r="223" spans="1:7" x14ac:dyDescent="0.35">
      <c r="A223" s="37">
        <v>44866</v>
      </c>
      <c r="B223">
        <v>2022</v>
      </c>
      <c r="C223">
        <v>11</v>
      </c>
      <c r="D223" s="38" t="s">
        <v>26</v>
      </c>
      <c r="E223">
        <v>544</v>
      </c>
      <c r="F223">
        <v>3</v>
      </c>
      <c r="G223">
        <v>36</v>
      </c>
    </row>
    <row r="224" spans="1:7" x14ac:dyDescent="0.35">
      <c r="A224" s="37">
        <v>44868</v>
      </c>
      <c r="B224">
        <v>2022</v>
      </c>
      <c r="C224">
        <v>11</v>
      </c>
      <c r="D224" s="38" t="s">
        <v>26</v>
      </c>
      <c r="E224">
        <v>536</v>
      </c>
      <c r="F224">
        <v>5</v>
      </c>
      <c r="G224">
        <v>25</v>
      </c>
    </row>
    <row r="225" spans="1:7" x14ac:dyDescent="0.35">
      <c r="A225" s="37">
        <v>44868</v>
      </c>
      <c r="B225">
        <v>2022</v>
      </c>
      <c r="C225">
        <v>11</v>
      </c>
      <c r="D225" s="38" t="s">
        <v>26</v>
      </c>
      <c r="E225">
        <v>542</v>
      </c>
      <c r="F225">
        <v>3</v>
      </c>
      <c r="G225">
        <v>30</v>
      </c>
    </row>
    <row r="226" spans="1:7" x14ac:dyDescent="0.35">
      <c r="A226" s="37">
        <v>44879</v>
      </c>
      <c r="B226">
        <v>2022</v>
      </c>
      <c r="C226">
        <v>11</v>
      </c>
      <c r="D226" s="38" t="s">
        <v>26</v>
      </c>
      <c r="E226">
        <v>514</v>
      </c>
      <c r="F226">
        <v>8</v>
      </c>
      <c r="G226">
        <v>52</v>
      </c>
    </row>
    <row r="227" spans="1:7" x14ac:dyDescent="0.35">
      <c r="A227" s="37">
        <v>44879</v>
      </c>
      <c r="B227">
        <v>2022</v>
      </c>
      <c r="C227">
        <v>11</v>
      </c>
      <c r="D227" s="38" t="s">
        <v>26</v>
      </c>
      <c r="E227">
        <v>548</v>
      </c>
      <c r="F227">
        <v>10</v>
      </c>
      <c r="G227">
        <v>20</v>
      </c>
    </row>
    <row r="228" spans="1:7" x14ac:dyDescent="0.35">
      <c r="A228" s="37">
        <v>44881</v>
      </c>
      <c r="B228">
        <v>2022</v>
      </c>
      <c r="C228">
        <v>11</v>
      </c>
      <c r="D228" s="38" t="s">
        <v>26</v>
      </c>
      <c r="E228">
        <v>540</v>
      </c>
      <c r="F228">
        <v>5</v>
      </c>
      <c r="G228">
        <v>37.5</v>
      </c>
    </row>
    <row r="229" spans="1:7" x14ac:dyDescent="0.35">
      <c r="A229" s="37">
        <v>44881</v>
      </c>
      <c r="B229">
        <v>2022</v>
      </c>
      <c r="C229">
        <v>11</v>
      </c>
      <c r="D229" s="38" t="s">
        <v>26</v>
      </c>
      <c r="E229">
        <v>560</v>
      </c>
      <c r="F229">
        <v>5</v>
      </c>
      <c r="G229">
        <v>40</v>
      </c>
    </row>
    <row r="230" spans="1:7" x14ac:dyDescent="0.35">
      <c r="A230" s="37">
        <v>44883</v>
      </c>
      <c r="B230">
        <v>2022</v>
      </c>
      <c r="C230">
        <v>11</v>
      </c>
      <c r="D230" s="38" t="s">
        <v>26</v>
      </c>
      <c r="E230">
        <v>516</v>
      </c>
      <c r="F230">
        <v>7</v>
      </c>
      <c r="G230">
        <v>31.5</v>
      </c>
    </row>
    <row r="231" spans="1:7" x14ac:dyDescent="0.35">
      <c r="A231" s="37">
        <v>44883</v>
      </c>
      <c r="B231">
        <v>2022</v>
      </c>
      <c r="C231">
        <v>11</v>
      </c>
      <c r="D231" s="38" t="s">
        <v>26</v>
      </c>
      <c r="E231">
        <v>530</v>
      </c>
      <c r="F231">
        <v>5</v>
      </c>
      <c r="G231">
        <v>42.5</v>
      </c>
    </row>
    <row r="232" spans="1:7" x14ac:dyDescent="0.35">
      <c r="A232" s="37">
        <v>44886</v>
      </c>
      <c r="B232">
        <v>2022</v>
      </c>
      <c r="C232">
        <v>11</v>
      </c>
      <c r="D232" s="38" t="s">
        <v>26</v>
      </c>
      <c r="E232">
        <v>518</v>
      </c>
      <c r="F232">
        <v>4</v>
      </c>
      <c r="G232">
        <v>16</v>
      </c>
    </row>
    <row r="233" spans="1:7" x14ac:dyDescent="0.35">
      <c r="A233" s="37">
        <v>44886</v>
      </c>
      <c r="B233">
        <v>2022</v>
      </c>
      <c r="C233">
        <v>11</v>
      </c>
      <c r="D233" s="38" t="s">
        <v>26</v>
      </c>
      <c r="E233">
        <v>524</v>
      </c>
      <c r="F233">
        <v>3</v>
      </c>
      <c r="G233">
        <v>6</v>
      </c>
    </row>
    <row r="234" spans="1:7" x14ac:dyDescent="0.35">
      <c r="A234" s="37">
        <v>44888</v>
      </c>
      <c r="B234">
        <v>2022</v>
      </c>
      <c r="C234">
        <v>11</v>
      </c>
      <c r="D234" s="38" t="s">
        <v>26</v>
      </c>
      <c r="E234">
        <v>520</v>
      </c>
      <c r="F234">
        <v>6</v>
      </c>
      <c r="G234">
        <v>24</v>
      </c>
    </row>
    <row r="235" spans="1:7" x14ac:dyDescent="0.35">
      <c r="A235" s="37">
        <v>44888</v>
      </c>
      <c r="B235">
        <v>2022</v>
      </c>
      <c r="C235">
        <v>11</v>
      </c>
      <c r="D235" s="38" t="s">
        <v>26</v>
      </c>
      <c r="E235">
        <v>542</v>
      </c>
      <c r="F235">
        <v>2</v>
      </c>
      <c r="G235">
        <v>20</v>
      </c>
    </row>
    <row r="236" spans="1:7" x14ac:dyDescent="0.35">
      <c r="A236" s="37">
        <v>44890</v>
      </c>
      <c r="B236">
        <v>2022</v>
      </c>
      <c r="C236">
        <v>11</v>
      </c>
      <c r="D236" s="38" t="s">
        <v>26</v>
      </c>
      <c r="E236">
        <v>522</v>
      </c>
      <c r="F236">
        <v>6</v>
      </c>
      <c r="G236">
        <v>24</v>
      </c>
    </row>
    <row r="237" spans="1:7" x14ac:dyDescent="0.35">
      <c r="A237" s="37">
        <v>44890</v>
      </c>
      <c r="B237">
        <v>2022</v>
      </c>
      <c r="C237">
        <v>11</v>
      </c>
      <c r="D237" s="38" t="s">
        <v>26</v>
      </c>
      <c r="E237">
        <v>510</v>
      </c>
      <c r="F237">
        <v>6</v>
      </c>
      <c r="G237">
        <v>36</v>
      </c>
    </row>
    <row r="238" spans="1:7" x14ac:dyDescent="0.35">
      <c r="A238" s="37">
        <v>44893</v>
      </c>
      <c r="B238">
        <v>2022</v>
      </c>
      <c r="C238">
        <v>11</v>
      </c>
      <c r="D238" s="38" t="s">
        <v>26</v>
      </c>
      <c r="E238">
        <v>562</v>
      </c>
      <c r="F238">
        <v>5</v>
      </c>
      <c r="G238">
        <v>25</v>
      </c>
    </row>
    <row r="239" spans="1:7" x14ac:dyDescent="0.35">
      <c r="A239" s="37">
        <v>44893</v>
      </c>
      <c r="B239">
        <v>2022</v>
      </c>
      <c r="C239">
        <v>11</v>
      </c>
      <c r="D239" s="38" t="s">
        <v>26</v>
      </c>
      <c r="E239">
        <v>510</v>
      </c>
      <c r="F239">
        <v>6</v>
      </c>
      <c r="G239">
        <v>36</v>
      </c>
    </row>
    <row r="240" spans="1:7" x14ac:dyDescent="0.35">
      <c r="A240" s="37">
        <v>44894</v>
      </c>
      <c r="B240">
        <v>2022</v>
      </c>
      <c r="C240">
        <v>11</v>
      </c>
      <c r="D240" s="38" t="s">
        <v>26</v>
      </c>
      <c r="E240">
        <v>518</v>
      </c>
      <c r="F240">
        <v>4</v>
      </c>
      <c r="G240">
        <v>16</v>
      </c>
    </row>
    <row r="241" spans="1:7" x14ac:dyDescent="0.35">
      <c r="A241" s="37">
        <v>44894</v>
      </c>
      <c r="B241">
        <v>2022</v>
      </c>
      <c r="C241">
        <v>11</v>
      </c>
      <c r="D241" s="38" t="s">
        <v>26</v>
      </c>
      <c r="E241">
        <v>524</v>
      </c>
      <c r="F241">
        <v>3</v>
      </c>
      <c r="G241">
        <v>6</v>
      </c>
    </row>
    <row r="242" spans="1:7" x14ac:dyDescent="0.35">
      <c r="A242" s="37">
        <v>44894</v>
      </c>
      <c r="B242">
        <v>2022</v>
      </c>
      <c r="C242">
        <v>11</v>
      </c>
      <c r="D242" s="38" t="s">
        <v>26</v>
      </c>
      <c r="E242">
        <v>520</v>
      </c>
      <c r="F242">
        <v>6</v>
      </c>
      <c r="G242">
        <v>24</v>
      </c>
    </row>
    <row r="243" spans="1:7" x14ac:dyDescent="0.35">
      <c r="A243" s="37">
        <v>44894</v>
      </c>
      <c r="B243">
        <v>2022</v>
      </c>
      <c r="C243">
        <v>11</v>
      </c>
      <c r="D243" s="38" t="s">
        <v>26</v>
      </c>
      <c r="E243">
        <v>542</v>
      </c>
      <c r="F243">
        <v>3</v>
      </c>
      <c r="G243">
        <v>30</v>
      </c>
    </row>
    <row r="244" spans="1:7" x14ac:dyDescent="0.35">
      <c r="A244" s="37">
        <v>44894</v>
      </c>
      <c r="B244">
        <v>2022</v>
      </c>
      <c r="C244">
        <v>11</v>
      </c>
      <c r="D244" s="38" t="s">
        <v>26</v>
      </c>
      <c r="E244">
        <v>522</v>
      </c>
      <c r="F244">
        <v>6</v>
      </c>
      <c r="G244">
        <v>24</v>
      </c>
    </row>
    <row r="245" spans="1:7" x14ac:dyDescent="0.35">
      <c r="A245" s="37">
        <v>44900</v>
      </c>
      <c r="B245">
        <v>2022</v>
      </c>
      <c r="C245">
        <v>12</v>
      </c>
      <c r="D245" s="38" t="s">
        <v>27</v>
      </c>
      <c r="E245">
        <v>532</v>
      </c>
      <c r="F245">
        <v>1</v>
      </c>
      <c r="G245">
        <v>10</v>
      </c>
    </row>
    <row r="246" spans="1:7" x14ac:dyDescent="0.35">
      <c r="A246" s="37">
        <v>44900</v>
      </c>
      <c r="B246">
        <v>2022</v>
      </c>
      <c r="C246">
        <v>12</v>
      </c>
      <c r="D246" s="38" t="s">
        <v>27</v>
      </c>
      <c r="E246">
        <v>544</v>
      </c>
      <c r="F246">
        <v>3</v>
      </c>
      <c r="G246">
        <v>36</v>
      </c>
    </row>
    <row r="247" spans="1:7" x14ac:dyDescent="0.35">
      <c r="A247" s="37">
        <v>44902</v>
      </c>
      <c r="B247">
        <v>2022</v>
      </c>
      <c r="C247">
        <v>12</v>
      </c>
      <c r="D247" s="38" t="s">
        <v>27</v>
      </c>
      <c r="E247">
        <v>536</v>
      </c>
      <c r="F247">
        <v>5</v>
      </c>
      <c r="G247">
        <v>25</v>
      </c>
    </row>
    <row r="248" spans="1:7" x14ac:dyDescent="0.35">
      <c r="A248" s="37">
        <v>44902</v>
      </c>
      <c r="B248">
        <v>2022</v>
      </c>
      <c r="C248">
        <v>12</v>
      </c>
      <c r="D248" s="38" t="s">
        <v>27</v>
      </c>
      <c r="E248">
        <v>542</v>
      </c>
      <c r="F248">
        <v>2</v>
      </c>
      <c r="G248">
        <v>20</v>
      </c>
    </row>
    <row r="249" spans="1:7" x14ac:dyDescent="0.35">
      <c r="A249" s="37">
        <v>44904</v>
      </c>
      <c r="B249">
        <v>2022</v>
      </c>
      <c r="C249">
        <v>12</v>
      </c>
      <c r="D249" s="38" t="s">
        <v>27</v>
      </c>
      <c r="E249">
        <v>514</v>
      </c>
      <c r="F249">
        <v>9</v>
      </c>
      <c r="G249">
        <v>58.5</v>
      </c>
    </row>
    <row r="250" spans="1:7" x14ac:dyDescent="0.35">
      <c r="A250" s="37">
        <v>44904</v>
      </c>
      <c r="B250">
        <v>2022</v>
      </c>
      <c r="C250">
        <v>12</v>
      </c>
      <c r="D250" s="38" t="s">
        <v>27</v>
      </c>
      <c r="E250">
        <v>548</v>
      </c>
      <c r="F250">
        <v>10</v>
      </c>
      <c r="G250">
        <v>20</v>
      </c>
    </row>
    <row r="251" spans="1:7" x14ac:dyDescent="0.35">
      <c r="A251" s="37">
        <v>44907</v>
      </c>
      <c r="B251">
        <v>2022</v>
      </c>
      <c r="C251">
        <v>12</v>
      </c>
      <c r="D251" s="38" t="s">
        <v>27</v>
      </c>
      <c r="E251">
        <v>540</v>
      </c>
      <c r="F251">
        <v>5</v>
      </c>
      <c r="G251">
        <v>37.5</v>
      </c>
    </row>
    <row r="252" spans="1:7" x14ac:dyDescent="0.35">
      <c r="A252" s="37">
        <v>44907</v>
      </c>
      <c r="B252">
        <v>2022</v>
      </c>
      <c r="C252">
        <v>12</v>
      </c>
      <c r="D252" s="38" t="s">
        <v>27</v>
      </c>
      <c r="E252">
        <v>560</v>
      </c>
      <c r="F252">
        <v>5</v>
      </c>
      <c r="G252">
        <v>40</v>
      </c>
    </row>
    <row r="253" spans="1:7" x14ac:dyDescent="0.35">
      <c r="A253" s="37">
        <v>44909</v>
      </c>
      <c r="B253">
        <v>2022</v>
      </c>
      <c r="C253">
        <v>12</v>
      </c>
      <c r="D253" s="38" t="s">
        <v>27</v>
      </c>
      <c r="E253">
        <v>516</v>
      </c>
      <c r="F253">
        <v>7</v>
      </c>
      <c r="G253">
        <v>31.5</v>
      </c>
    </row>
    <row r="254" spans="1:7" x14ac:dyDescent="0.35">
      <c r="A254" s="37">
        <v>44909</v>
      </c>
      <c r="B254">
        <v>2022</v>
      </c>
      <c r="C254">
        <v>12</v>
      </c>
      <c r="D254" s="38" t="s">
        <v>27</v>
      </c>
      <c r="E254">
        <v>530</v>
      </c>
      <c r="F254">
        <v>5</v>
      </c>
      <c r="G254">
        <v>42.5</v>
      </c>
    </row>
    <row r="255" spans="1:7" x14ac:dyDescent="0.35">
      <c r="A255" s="37">
        <v>44911</v>
      </c>
      <c r="B255">
        <v>2022</v>
      </c>
      <c r="C255">
        <v>12</v>
      </c>
      <c r="D255" s="38" t="s">
        <v>27</v>
      </c>
      <c r="E255">
        <v>518</v>
      </c>
      <c r="F255">
        <v>4</v>
      </c>
      <c r="G255">
        <v>16</v>
      </c>
    </row>
    <row r="256" spans="1:7" x14ac:dyDescent="0.35">
      <c r="A256" s="37">
        <v>44911</v>
      </c>
      <c r="B256">
        <v>2022</v>
      </c>
      <c r="C256">
        <v>12</v>
      </c>
      <c r="D256" s="38" t="s">
        <v>27</v>
      </c>
      <c r="E256">
        <v>524</v>
      </c>
      <c r="F256">
        <v>3</v>
      </c>
      <c r="G256">
        <v>6</v>
      </c>
    </row>
    <row r="257" spans="1:7" x14ac:dyDescent="0.35">
      <c r="A257" s="37">
        <v>44912</v>
      </c>
      <c r="B257">
        <v>2022</v>
      </c>
      <c r="C257">
        <v>12</v>
      </c>
      <c r="D257" s="38" t="s">
        <v>27</v>
      </c>
      <c r="E257">
        <v>576</v>
      </c>
      <c r="F257">
        <v>10</v>
      </c>
      <c r="G257">
        <v>125</v>
      </c>
    </row>
    <row r="258" spans="1:7" x14ac:dyDescent="0.35">
      <c r="A258" s="37">
        <v>44912</v>
      </c>
      <c r="B258">
        <v>2022</v>
      </c>
      <c r="C258">
        <v>12</v>
      </c>
      <c r="D258" s="38" t="s">
        <v>27</v>
      </c>
      <c r="E258">
        <v>578</v>
      </c>
      <c r="F258">
        <v>4</v>
      </c>
      <c r="G258">
        <v>62</v>
      </c>
    </row>
    <row r="259" spans="1:7" x14ac:dyDescent="0.35">
      <c r="A259" s="37">
        <v>44912</v>
      </c>
      <c r="B259">
        <v>2022</v>
      </c>
      <c r="C259">
        <v>12</v>
      </c>
      <c r="D259" s="38" t="s">
        <v>27</v>
      </c>
      <c r="E259">
        <v>580</v>
      </c>
      <c r="F259">
        <v>6</v>
      </c>
      <c r="G259">
        <v>48</v>
      </c>
    </row>
    <row r="260" spans="1:7" x14ac:dyDescent="0.35">
      <c r="A260" s="37">
        <v>44912</v>
      </c>
      <c r="B260">
        <v>2022</v>
      </c>
      <c r="C260">
        <v>12</v>
      </c>
      <c r="D260" s="38" t="s">
        <v>27</v>
      </c>
      <c r="E260">
        <v>568</v>
      </c>
      <c r="F260">
        <v>7</v>
      </c>
      <c r="G260">
        <v>73.5</v>
      </c>
    </row>
    <row r="261" spans="1:7" x14ac:dyDescent="0.35">
      <c r="A261" s="37">
        <v>44914</v>
      </c>
      <c r="B261">
        <v>2022</v>
      </c>
      <c r="C261">
        <v>12</v>
      </c>
      <c r="D261" s="38" t="s">
        <v>27</v>
      </c>
      <c r="E261">
        <v>520</v>
      </c>
      <c r="F261">
        <v>6</v>
      </c>
      <c r="G261">
        <v>24</v>
      </c>
    </row>
    <row r="262" spans="1:7" x14ac:dyDescent="0.35">
      <c r="A262" s="37">
        <v>44914</v>
      </c>
      <c r="B262">
        <v>2022</v>
      </c>
      <c r="C262">
        <v>12</v>
      </c>
      <c r="D262" s="38" t="s">
        <v>27</v>
      </c>
      <c r="E262">
        <v>542</v>
      </c>
      <c r="F262">
        <v>4</v>
      </c>
      <c r="G262">
        <v>40</v>
      </c>
    </row>
    <row r="263" spans="1:7" x14ac:dyDescent="0.35">
      <c r="A263" s="37">
        <v>44916</v>
      </c>
      <c r="B263">
        <v>2022</v>
      </c>
      <c r="C263">
        <v>12</v>
      </c>
      <c r="D263" s="38" t="s">
        <v>27</v>
      </c>
      <c r="E263">
        <v>522</v>
      </c>
      <c r="F263">
        <v>6</v>
      </c>
      <c r="G263">
        <v>24</v>
      </c>
    </row>
    <row r="264" spans="1:7" x14ac:dyDescent="0.35">
      <c r="A264" s="37">
        <v>44916</v>
      </c>
      <c r="B264">
        <v>2022</v>
      </c>
      <c r="C264">
        <v>12</v>
      </c>
      <c r="D264" s="38" t="s">
        <v>27</v>
      </c>
      <c r="E264">
        <v>510</v>
      </c>
      <c r="F264">
        <v>6</v>
      </c>
      <c r="G264">
        <v>36</v>
      </c>
    </row>
    <row r="265" spans="1:7" x14ac:dyDescent="0.35">
      <c r="A265" s="37">
        <v>44918</v>
      </c>
      <c r="B265">
        <v>2022</v>
      </c>
      <c r="C265">
        <v>12</v>
      </c>
      <c r="D265" s="38" t="s">
        <v>27</v>
      </c>
      <c r="E265">
        <v>562</v>
      </c>
      <c r="F265">
        <v>5</v>
      </c>
      <c r="G265">
        <v>25</v>
      </c>
    </row>
    <row r="266" spans="1:7" x14ac:dyDescent="0.35">
      <c r="A266" s="37">
        <v>44918</v>
      </c>
      <c r="B266">
        <v>2022</v>
      </c>
      <c r="C266">
        <v>12</v>
      </c>
      <c r="D266" s="38" t="s">
        <v>27</v>
      </c>
      <c r="E266">
        <v>510</v>
      </c>
      <c r="F266">
        <v>6</v>
      </c>
      <c r="G266">
        <v>36</v>
      </c>
    </row>
    <row r="267" spans="1:7" x14ac:dyDescent="0.35">
      <c r="A267" s="37">
        <v>44936</v>
      </c>
      <c r="B267">
        <v>2023</v>
      </c>
      <c r="C267">
        <v>1</v>
      </c>
      <c r="D267" s="38" t="s">
        <v>16</v>
      </c>
      <c r="E267">
        <v>510</v>
      </c>
      <c r="F267">
        <v>7</v>
      </c>
      <c r="G267">
        <v>42</v>
      </c>
    </row>
    <row r="268" spans="1:7" x14ac:dyDescent="0.35">
      <c r="A268" s="37">
        <v>44936</v>
      </c>
      <c r="B268">
        <v>2023</v>
      </c>
      <c r="C268">
        <v>1</v>
      </c>
      <c r="D268" s="38" t="s">
        <v>16</v>
      </c>
      <c r="E268">
        <v>514</v>
      </c>
      <c r="F268">
        <v>6</v>
      </c>
      <c r="G268">
        <v>39</v>
      </c>
    </row>
    <row r="269" spans="1:7" x14ac:dyDescent="0.35">
      <c r="A269" s="37">
        <v>44936</v>
      </c>
      <c r="B269">
        <v>2023</v>
      </c>
      <c r="C269">
        <v>1</v>
      </c>
      <c r="D269" s="38" t="s">
        <v>16</v>
      </c>
      <c r="E269">
        <v>516</v>
      </c>
      <c r="F269">
        <v>4</v>
      </c>
      <c r="G269">
        <v>18</v>
      </c>
    </row>
    <row r="270" spans="1:7" x14ac:dyDescent="0.35">
      <c r="A270" s="37">
        <v>44936</v>
      </c>
      <c r="B270">
        <v>2023</v>
      </c>
      <c r="C270">
        <v>1</v>
      </c>
      <c r="D270" s="38" t="s">
        <v>16</v>
      </c>
      <c r="E270">
        <v>580</v>
      </c>
      <c r="F270">
        <v>8</v>
      </c>
      <c r="G270">
        <v>64</v>
      </c>
    </row>
    <row r="271" spans="1:7" x14ac:dyDescent="0.35">
      <c r="A271" s="37">
        <v>44938</v>
      </c>
      <c r="B271">
        <v>2023</v>
      </c>
      <c r="C271">
        <v>1</v>
      </c>
      <c r="D271" s="38" t="s">
        <v>16</v>
      </c>
      <c r="E271">
        <v>580</v>
      </c>
      <c r="F271">
        <v>7</v>
      </c>
      <c r="G271">
        <v>56</v>
      </c>
    </row>
    <row r="272" spans="1:7" x14ac:dyDescent="0.35">
      <c r="A272" s="37">
        <v>44938</v>
      </c>
      <c r="B272">
        <v>2023</v>
      </c>
      <c r="C272">
        <v>1</v>
      </c>
      <c r="D272" s="38" t="s">
        <v>16</v>
      </c>
      <c r="E272">
        <v>516</v>
      </c>
      <c r="F272">
        <v>5</v>
      </c>
      <c r="G272">
        <v>22.5</v>
      </c>
    </row>
    <row r="273" spans="1:7" x14ac:dyDescent="0.35">
      <c r="A273" s="37">
        <v>44938</v>
      </c>
      <c r="B273">
        <v>2023</v>
      </c>
      <c r="C273">
        <v>1</v>
      </c>
      <c r="D273" s="38" t="s">
        <v>16</v>
      </c>
      <c r="E273">
        <v>580</v>
      </c>
      <c r="F273">
        <v>6</v>
      </c>
      <c r="G273">
        <v>48</v>
      </c>
    </row>
    <row r="274" spans="1:7" x14ac:dyDescent="0.35">
      <c r="A274" s="37">
        <v>44940</v>
      </c>
      <c r="B274">
        <v>2023</v>
      </c>
      <c r="C274">
        <v>1</v>
      </c>
      <c r="D274" s="38" t="s">
        <v>16</v>
      </c>
      <c r="E274">
        <v>522</v>
      </c>
      <c r="F274">
        <v>5</v>
      </c>
      <c r="G274">
        <v>20</v>
      </c>
    </row>
    <row r="275" spans="1:7" x14ac:dyDescent="0.35">
      <c r="A275" s="37">
        <v>44943</v>
      </c>
      <c r="B275">
        <v>2023</v>
      </c>
      <c r="C275">
        <v>1</v>
      </c>
      <c r="D275" s="38" t="s">
        <v>16</v>
      </c>
      <c r="E275">
        <v>524</v>
      </c>
      <c r="F275">
        <v>3</v>
      </c>
      <c r="G275">
        <v>6</v>
      </c>
    </row>
    <row r="276" spans="1:7" x14ac:dyDescent="0.35">
      <c r="A276" s="37">
        <v>44945</v>
      </c>
      <c r="B276">
        <v>2023</v>
      </c>
      <c r="C276">
        <v>1</v>
      </c>
      <c r="D276" s="38" t="s">
        <v>16</v>
      </c>
      <c r="E276">
        <v>530</v>
      </c>
      <c r="F276">
        <v>6</v>
      </c>
      <c r="G276">
        <v>51</v>
      </c>
    </row>
    <row r="277" spans="1:7" x14ac:dyDescent="0.35">
      <c r="A277" s="37">
        <v>44947</v>
      </c>
      <c r="B277">
        <v>2023</v>
      </c>
      <c r="C277">
        <v>1</v>
      </c>
      <c r="D277" s="38" t="s">
        <v>16</v>
      </c>
      <c r="E277">
        <v>536</v>
      </c>
      <c r="F277">
        <v>3</v>
      </c>
      <c r="G277">
        <v>15</v>
      </c>
    </row>
    <row r="278" spans="1:7" x14ac:dyDescent="0.35">
      <c r="A278" s="37">
        <v>44950</v>
      </c>
      <c r="B278">
        <v>2023</v>
      </c>
      <c r="C278">
        <v>1</v>
      </c>
      <c r="D278" s="38" t="s">
        <v>16</v>
      </c>
      <c r="E278">
        <v>540</v>
      </c>
      <c r="F278">
        <v>7</v>
      </c>
      <c r="G278">
        <v>52.5</v>
      </c>
    </row>
    <row r="279" spans="1:7" x14ac:dyDescent="0.35">
      <c r="A279" s="37">
        <v>44952</v>
      </c>
      <c r="B279">
        <v>2023</v>
      </c>
      <c r="C279">
        <v>1</v>
      </c>
      <c r="D279" s="38" t="s">
        <v>16</v>
      </c>
      <c r="E279">
        <v>580</v>
      </c>
      <c r="F279">
        <v>8</v>
      </c>
      <c r="G279">
        <v>64</v>
      </c>
    </row>
    <row r="280" spans="1:7" x14ac:dyDescent="0.35">
      <c r="A280" s="37">
        <v>44952</v>
      </c>
      <c r="B280">
        <v>2023</v>
      </c>
      <c r="C280">
        <v>1</v>
      </c>
      <c r="D280" s="38" t="s">
        <v>16</v>
      </c>
      <c r="E280">
        <v>576</v>
      </c>
      <c r="F280">
        <v>10</v>
      </c>
      <c r="G280">
        <v>125</v>
      </c>
    </row>
    <row r="281" spans="1:7" x14ac:dyDescent="0.35">
      <c r="A281" s="37">
        <v>44952</v>
      </c>
      <c r="B281">
        <v>2023</v>
      </c>
      <c r="C281">
        <v>1</v>
      </c>
      <c r="D281" s="38" t="s">
        <v>16</v>
      </c>
      <c r="E281">
        <v>578</v>
      </c>
      <c r="F281">
        <v>4</v>
      </c>
      <c r="G281">
        <v>62</v>
      </c>
    </row>
    <row r="282" spans="1:7" x14ac:dyDescent="0.35">
      <c r="A282" s="37">
        <v>44953</v>
      </c>
      <c r="B282">
        <v>2023</v>
      </c>
      <c r="C282">
        <v>1</v>
      </c>
      <c r="D282" s="38" t="s">
        <v>16</v>
      </c>
      <c r="E282">
        <v>580</v>
      </c>
      <c r="F282">
        <v>7</v>
      </c>
      <c r="G282">
        <v>56</v>
      </c>
    </row>
    <row r="283" spans="1:7" x14ac:dyDescent="0.35">
      <c r="A283" s="37">
        <v>44953</v>
      </c>
      <c r="B283">
        <v>2023</v>
      </c>
      <c r="C283">
        <v>1</v>
      </c>
      <c r="D283" s="38" t="s">
        <v>16</v>
      </c>
      <c r="E283">
        <v>568</v>
      </c>
      <c r="F283">
        <v>7</v>
      </c>
      <c r="G283">
        <v>73.5</v>
      </c>
    </row>
    <row r="284" spans="1:7" x14ac:dyDescent="0.35">
      <c r="A284" s="37">
        <v>44954</v>
      </c>
      <c r="B284">
        <v>2023</v>
      </c>
      <c r="C284">
        <v>1</v>
      </c>
      <c r="D284" s="38" t="s">
        <v>16</v>
      </c>
      <c r="E284">
        <v>580</v>
      </c>
      <c r="F284">
        <v>9</v>
      </c>
      <c r="G284">
        <v>72</v>
      </c>
    </row>
    <row r="285" spans="1:7" x14ac:dyDescent="0.35">
      <c r="A285" s="37">
        <v>44954</v>
      </c>
      <c r="B285">
        <v>2023</v>
      </c>
      <c r="C285">
        <v>1</v>
      </c>
      <c r="D285" s="38" t="s">
        <v>16</v>
      </c>
      <c r="E285">
        <v>580</v>
      </c>
      <c r="F285">
        <v>9</v>
      </c>
      <c r="G285">
        <v>72</v>
      </c>
    </row>
    <row r="286" spans="1:7" x14ac:dyDescent="0.35">
      <c r="A286" s="37">
        <v>44955</v>
      </c>
      <c r="B286">
        <v>2023</v>
      </c>
      <c r="C286">
        <v>1</v>
      </c>
      <c r="D286" s="38" t="s">
        <v>16</v>
      </c>
      <c r="E286">
        <v>576</v>
      </c>
      <c r="F286">
        <v>10</v>
      </c>
      <c r="G286">
        <v>125</v>
      </c>
    </row>
    <row r="287" spans="1:7" x14ac:dyDescent="0.35">
      <c r="A287" s="37">
        <v>44955</v>
      </c>
      <c r="B287">
        <v>2023</v>
      </c>
      <c r="C287">
        <v>1</v>
      </c>
      <c r="D287" s="38" t="s">
        <v>16</v>
      </c>
      <c r="E287">
        <v>542</v>
      </c>
      <c r="F287">
        <v>3</v>
      </c>
      <c r="G287">
        <v>30</v>
      </c>
    </row>
    <row r="288" spans="1:7" x14ac:dyDescent="0.35">
      <c r="A288" s="37">
        <v>44955</v>
      </c>
      <c r="B288">
        <v>2023</v>
      </c>
      <c r="C288">
        <v>1</v>
      </c>
      <c r="D288" s="38" t="s">
        <v>16</v>
      </c>
      <c r="E288">
        <v>548</v>
      </c>
      <c r="F288">
        <v>5</v>
      </c>
      <c r="G288">
        <v>10</v>
      </c>
    </row>
    <row r="289" spans="1:7" x14ac:dyDescent="0.35">
      <c r="A289" s="37">
        <v>44955</v>
      </c>
      <c r="B289">
        <v>2023</v>
      </c>
      <c r="C289">
        <v>1</v>
      </c>
      <c r="D289" s="38" t="s">
        <v>16</v>
      </c>
      <c r="E289">
        <v>560</v>
      </c>
      <c r="F289">
        <v>10</v>
      </c>
      <c r="G289">
        <v>80</v>
      </c>
    </row>
    <row r="290" spans="1:7" x14ac:dyDescent="0.35">
      <c r="A290" s="37">
        <v>44955</v>
      </c>
      <c r="B290">
        <v>2023</v>
      </c>
      <c r="C290">
        <v>1</v>
      </c>
      <c r="D290" s="38" t="s">
        <v>16</v>
      </c>
      <c r="E290">
        <v>572</v>
      </c>
      <c r="F290">
        <v>6</v>
      </c>
      <c r="G290">
        <v>36</v>
      </c>
    </row>
    <row r="291" spans="1:7" x14ac:dyDescent="0.35">
      <c r="A291" s="37">
        <v>44955</v>
      </c>
      <c r="B291">
        <v>2023</v>
      </c>
      <c r="C291">
        <v>1</v>
      </c>
      <c r="D291" s="38" t="s">
        <v>16</v>
      </c>
      <c r="E291">
        <v>574</v>
      </c>
      <c r="F291">
        <v>5</v>
      </c>
      <c r="G291">
        <v>27.5</v>
      </c>
    </row>
    <row r="292" spans="1:7" x14ac:dyDescent="0.35">
      <c r="A292" s="37">
        <v>44964</v>
      </c>
      <c r="B292">
        <v>2023</v>
      </c>
      <c r="C292">
        <v>2</v>
      </c>
      <c r="D292" s="38" t="s">
        <v>17</v>
      </c>
      <c r="E292">
        <v>542</v>
      </c>
      <c r="F292">
        <v>1</v>
      </c>
      <c r="G292">
        <v>10</v>
      </c>
    </row>
    <row r="293" spans="1:7" x14ac:dyDescent="0.35">
      <c r="A293" s="37">
        <v>44965</v>
      </c>
      <c r="B293">
        <v>2023</v>
      </c>
      <c r="C293">
        <v>2</v>
      </c>
      <c r="D293" s="38" t="s">
        <v>17</v>
      </c>
      <c r="E293">
        <v>548</v>
      </c>
      <c r="F293">
        <v>5</v>
      </c>
      <c r="G293">
        <v>10</v>
      </c>
    </row>
    <row r="294" spans="1:7" x14ac:dyDescent="0.35">
      <c r="A294" s="37">
        <v>44966</v>
      </c>
      <c r="B294">
        <v>2023</v>
      </c>
      <c r="C294">
        <v>2</v>
      </c>
      <c r="D294" s="38" t="s">
        <v>17</v>
      </c>
      <c r="E294">
        <v>560</v>
      </c>
      <c r="F294">
        <v>2</v>
      </c>
      <c r="G294">
        <v>16</v>
      </c>
    </row>
    <row r="295" spans="1:7" x14ac:dyDescent="0.35">
      <c r="A295" s="37">
        <v>44967</v>
      </c>
      <c r="B295">
        <v>2023</v>
      </c>
      <c r="C295">
        <v>2</v>
      </c>
      <c r="D295" s="38" t="s">
        <v>17</v>
      </c>
      <c r="E295">
        <v>566</v>
      </c>
      <c r="F295">
        <v>2</v>
      </c>
      <c r="G295">
        <v>17</v>
      </c>
    </row>
    <row r="296" spans="1:7" x14ac:dyDescent="0.35">
      <c r="A296" s="37">
        <v>44968</v>
      </c>
      <c r="B296">
        <v>2023</v>
      </c>
      <c r="C296">
        <v>2</v>
      </c>
      <c r="D296" s="38" t="s">
        <v>17</v>
      </c>
      <c r="E296">
        <v>576</v>
      </c>
      <c r="F296">
        <v>10</v>
      </c>
      <c r="G296">
        <v>125</v>
      </c>
    </row>
    <row r="297" spans="1:7" x14ac:dyDescent="0.35">
      <c r="A297" s="37">
        <v>44968</v>
      </c>
      <c r="B297">
        <v>2023</v>
      </c>
      <c r="C297">
        <v>2</v>
      </c>
      <c r="D297" s="38" t="s">
        <v>17</v>
      </c>
      <c r="E297">
        <v>578</v>
      </c>
      <c r="F297">
        <v>4</v>
      </c>
      <c r="G297">
        <v>62</v>
      </c>
    </row>
    <row r="298" spans="1:7" x14ac:dyDescent="0.35">
      <c r="A298" s="37">
        <v>44968</v>
      </c>
      <c r="B298">
        <v>2023</v>
      </c>
      <c r="C298">
        <v>2</v>
      </c>
      <c r="D298" s="38" t="s">
        <v>17</v>
      </c>
      <c r="E298">
        <v>580</v>
      </c>
      <c r="F298">
        <v>9</v>
      </c>
      <c r="G298">
        <v>72</v>
      </c>
    </row>
    <row r="299" spans="1:7" x14ac:dyDescent="0.35">
      <c r="A299" s="37">
        <v>44968</v>
      </c>
      <c r="B299">
        <v>2023</v>
      </c>
      <c r="C299">
        <v>2</v>
      </c>
      <c r="D299" s="38" t="s">
        <v>17</v>
      </c>
      <c r="E299">
        <v>568</v>
      </c>
      <c r="F299">
        <v>7</v>
      </c>
      <c r="G299">
        <v>73.5</v>
      </c>
    </row>
    <row r="300" spans="1:7" x14ac:dyDescent="0.35">
      <c r="A300" s="37">
        <v>44969</v>
      </c>
      <c r="B300">
        <v>2023</v>
      </c>
      <c r="C300">
        <v>2</v>
      </c>
      <c r="D300" s="38" t="s">
        <v>17</v>
      </c>
      <c r="E300">
        <v>576</v>
      </c>
      <c r="F300">
        <v>10</v>
      </c>
      <c r="G300">
        <v>125</v>
      </c>
    </row>
    <row r="301" spans="1:7" x14ac:dyDescent="0.35">
      <c r="A301" s="37">
        <v>44969</v>
      </c>
      <c r="B301">
        <v>2023</v>
      </c>
      <c r="C301">
        <v>2</v>
      </c>
      <c r="D301" s="38" t="s">
        <v>17</v>
      </c>
      <c r="E301">
        <v>578</v>
      </c>
      <c r="F301">
        <v>10</v>
      </c>
      <c r="G301">
        <v>155</v>
      </c>
    </row>
    <row r="302" spans="1:7" x14ac:dyDescent="0.35">
      <c r="A302" s="37">
        <v>44969</v>
      </c>
      <c r="B302">
        <v>2023</v>
      </c>
      <c r="C302">
        <v>2</v>
      </c>
      <c r="D302" s="38" t="s">
        <v>17</v>
      </c>
      <c r="E302">
        <v>580</v>
      </c>
      <c r="F302">
        <v>6</v>
      </c>
      <c r="G302">
        <v>48</v>
      </c>
    </row>
    <row r="303" spans="1:7" x14ac:dyDescent="0.35">
      <c r="A303" s="37">
        <v>44969</v>
      </c>
      <c r="B303">
        <v>2023</v>
      </c>
      <c r="C303">
        <v>2</v>
      </c>
      <c r="D303" s="38" t="s">
        <v>17</v>
      </c>
      <c r="E303">
        <v>568</v>
      </c>
      <c r="F303">
        <v>7</v>
      </c>
      <c r="G303">
        <v>73.5</v>
      </c>
    </row>
    <row r="304" spans="1:7" x14ac:dyDescent="0.35">
      <c r="A304" s="37">
        <v>44978</v>
      </c>
      <c r="B304">
        <v>2023</v>
      </c>
      <c r="C304">
        <v>2</v>
      </c>
      <c r="D304" s="38" t="s">
        <v>17</v>
      </c>
      <c r="E304">
        <v>568</v>
      </c>
      <c r="F304">
        <v>3</v>
      </c>
      <c r="G304">
        <v>31.5</v>
      </c>
    </row>
    <row r="305" spans="1:7" x14ac:dyDescent="0.35">
      <c r="A305" s="37">
        <v>44980</v>
      </c>
      <c r="B305">
        <v>2023</v>
      </c>
      <c r="C305">
        <v>2</v>
      </c>
      <c r="D305" s="38" t="s">
        <v>17</v>
      </c>
      <c r="E305">
        <v>570</v>
      </c>
      <c r="F305">
        <v>3</v>
      </c>
      <c r="G305">
        <v>15</v>
      </c>
    </row>
    <row r="306" spans="1:7" x14ac:dyDescent="0.35">
      <c r="A306" s="37">
        <v>44981</v>
      </c>
      <c r="B306">
        <v>2023</v>
      </c>
      <c r="C306">
        <v>2</v>
      </c>
      <c r="D306" s="38" t="s">
        <v>17</v>
      </c>
      <c r="E306">
        <v>572</v>
      </c>
      <c r="F306">
        <v>5</v>
      </c>
      <c r="G306">
        <v>30</v>
      </c>
    </row>
    <row r="307" spans="1:7" x14ac:dyDescent="0.35">
      <c r="A307" s="37">
        <v>44982</v>
      </c>
      <c r="B307">
        <v>2023</v>
      </c>
      <c r="C307">
        <v>2</v>
      </c>
      <c r="D307" s="38" t="s">
        <v>17</v>
      </c>
      <c r="E307">
        <v>574</v>
      </c>
      <c r="F307">
        <v>5</v>
      </c>
      <c r="G307">
        <v>27.5</v>
      </c>
    </row>
    <row r="308" spans="1:7" x14ac:dyDescent="0.35">
      <c r="A308" s="37">
        <v>44984</v>
      </c>
      <c r="B308">
        <v>2023</v>
      </c>
      <c r="C308">
        <v>2</v>
      </c>
      <c r="D308" s="38" t="s">
        <v>17</v>
      </c>
      <c r="E308">
        <v>580</v>
      </c>
      <c r="F308">
        <v>8</v>
      </c>
      <c r="G308">
        <v>64</v>
      </c>
    </row>
    <row r="309" spans="1:7" x14ac:dyDescent="0.35">
      <c r="A309" s="37">
        <v>44984</v>
      </c>
      <c r="B309">
        <v>2023</v>
      </c>
      <c r="C309">
        <v>2</v>
      </c>
      <c r="D309" s="38" t="s">
        <v>17</v>
      </c>
      <c r="E309">
        <v>518</v>
      </c>
      <c r="F309">
        <v>3</v>
      </c>
      <c r="G309">
        <v>12</v>
      </c>
    </row>
    <row r="310" spans="1:7" x14ac:dyDescent="0.35">
      <c r="A310" s="37">
        <v>44985</v>
      </c>
      <c r="B310">
        <v>2023</v>
      </c>
      <c r="C310">
        <v>2</v>
      </c>
      <c r="D310" s="38" t="s">
        <v>17</v>
      </c>
      <c r="E310">
        <v>580</v>
      </c>
      <c r="F310">
        <v>9</v>
      </c>
      <c r="G310">
        <v>72</v>
      </c>
    </row>
    <row r="311" spans="1:7" x14ac:dyDescent="0.35">
      <c r="A311" s="37">
        <v>44985</v>
      </c>
      <c r="B311">
        <v>2023</v>
      </c>
      <c r="C311">
        <v>2</v>
      </c>
      <c r="D311" s="38" t="s">
        <v>17</v>
      </c>
      <c r="E311">
        <v>520</v>
      </c>
      <c r="F311">
        <v>5</v>
      </c>
      <c r="G311">
        <v>20</v>
      </c>
    </row>
    <row r="312" spans="1:7" x14ac:dyDescent="0.35">
      <c r="A312" s="37">
        <v>44985</v>
      </c>
      <c r="B312">
        <v>2023</v>
      </c>
      <c r="C312">
        <v>2</v>
      </c>
      <c r="D312" s="38" t="s">
        <v>17</v>
      </c>
      <c r="E312">
        <v>530</v>
      </c>
      <c r="F312">
        <v>7</v>
      </c>
      <c r="G312">
        <v>59.5</v>
      </c>
    </row>
    <row r="313" spans="1:7" x14ac:dyDescent="0.35">
      <c r="A313" s="37">
        <v>44985</v>
      </c>
      <c r="B313">
        <v>2023</v>
      </c>
      <c r="C313">
        <v>2</v>
      </c>
      <c r="D313" s="38" t="s">
        <v>17</v>
      </c>
      <c r="E313">
        <v>540</v>
      </c>
      <c r="F313">
        <v>10</v>
      </c>
      <c r="G313">
        <v>75</v>
      </c>
    </row>
    <row r="314" spans="1:7" x14ac:dyDescent="0.35">
      <c r="A314" s="37">
        <v>44985</v>
      </c>
      <c r="B314">
        <v>2023</v>
      </c>
      <c r="C314">
        <v>2</v>
      </c>
      <c r="D314" s="38" t="s">
        <v>17</v>
      </c>
      <c r="E314">
        <v>542</v>
      </c>
      <c r="F314">
        <v>3</v>
      </c>
      <c r="G314">
        <v>30</v>
      </c>
    </row>
    <row r="315" spans="1:7" x14ac:dyDescent="0.35">
      <c r="A315" s="37">
        <v>44985</v>
      </c>
      <c r="B315">
        <v>2023</v>
      </c>
      <c r="C315">
        <v>2</v>
      </c>
      <c r="D315" s="38" t="s">
        <v>17</v>
      </c>
      <c r="E315">
        <v>548</v>
      </c>
      <c r="F315">
        <v>5</v>
      </c>
      <c r="G315">
        <v>10</v>
      </c>
    </row>
    <row r="316" spans="1:7" x14ac:dyDescent="0.35">
      <c r="A316" s="37">
        <v>44992</v>
      </c>
      <c r="B316">
        <v>2023</v>
      </c>
      <c r="C316">
        <v>3</v>
      </c>
      <c r="D316" s="38" t="s">
        <v>18</v>
      </c>
      <c r="E316">
        <v>576</v>
      </c>
      <c r="F316">
        <v>4</v>
      </c>
      <c r="G316">
        <v>50</v>
      </c>
    </row>
    <row r="317" spans="1:7" x14ac:dyDescent="0.35">
      <c r="A317" s="37">
        <v>44993</v>
      </c>
      <c r="B317">
        <v>2023</v>
      </c>
      <c r="C317">
        <v>3</v>
      </c>
      <c r="D317" s="38" t="s">
        <v>18</v>
      </c>
      <c r="E317">
        <v>578</v>
      </c>
      <c r="F317">
        <v>4</v>
      </c>
      <c r="G317">
        <v>62</v>
      </c>
    </row>
    <row r="318" spans="1:7" x14ac:dyDescent="0.35">
      <c r="A318" s="37">
        <v>44999</v>
      </c>
      <c r="B318">
        <v>2023</v>
      </c>
      <c r="C318">
        <v>3</v>
      </c>
      <c r="D318" s="38" t="s">
        <v>18</v>
      </c>
      <c r="E318">
        <v>580</v>
      </c>
      <c r="F318">
        <v>5</v>
      </c>
      <c r="G318">
        <v>40</v>
      </c>
    </row>
    <row r="319" spans="1:7" x14ac:dyDescent="0.35">
      <c r="A319" s="37">
        <v>45000</v>
      </c>
      <c r="B319">
        <v>2023</v>
      </c>
      <c r="C319">
        <v>3</v>
      </c>
      <c r="D319" s="38" t="s">
        <v>18</v>
      </c>
      <c r="E319">
        <v>510</v>
      </c>
      <c r="F319">
        <v>5</v>
      </c>
      <c r="G319">
        <v>30</v>
      </c>
    </row>
    <row r="320" spans="1:7" x14ac:dyDescent="0.35">
      <c r="A320" s="37">
        <v>45000</v>
      </c>
      <c r="B320">
        <v>2023</v>
      </c>
      <c r="C320">
        <v>3</v>
      </c>
      <c r="D320" s="38" t="s">
        <v>18</v>
      </c>
      <c r="E320">
        <v>580</v>
      </c>
      <c r="F320">
        <v>9</v>
      </c>
      <c r="G320">
        <v>72</v>
      </c>
    </row>
    <row r="321" spans="1:7" x14ac:dyDescent="0.35">
      <c r="A321" s="37">
        <v>45001</v>
      </c>
      <c r="B321">
        <v>2023</v>
      </c>
      <c r="C321">
        <v>3</v>
      </c>
      <c r="D321" s="38" t="s">
        <v>18</v>
      </c>
      <c r="E321">
        <v>514</v>
      </c>
      <c r="F321">
        <v>7</v>
      </c>
      <c r="G321">
        <v>45.5</v>
      </c>
    </row>
    <row r="322" spans="1:7" x14ac:dyDescent="0.35">
      <c r="A322" s="37">
        <v>45001</v>
      </c>
      <c r="B322">
        <v>2023</v>
      </c>
      <c r="C322">
        <v>3</v>
      </c>
      <c r="D322" s="38" t="s">
        <v>18</v>
      </c>
      <c r="E322">
        <v>580</v>
      </c>
      <c r="F322">
        <v>8</v>
      </c>
      <c r="G322">
        <v>64</v>
      </c>
    </row>
    <row r="323" spans="1:7" x14ac:dyDescent="0.35">
      <c r="A323" s="37">
        <v>45002</v>
      </c>
      <c r="B323">
        <v>2023</v>
      </c>
      <c r="C323">
        <v>3</v>
      </c>
      <c r="D323" s="38" t="s">
        <v>18</v>
      </c>
      <c r="E323">
        <v>516</v>
      </c>
      <c r="F323">
        <v>5</v>
      </c>
      <c r="G323">
        <v>22.5</v>
      </c>
    </row>
    <row r="324" spans="1:7" x14ac:dyDescent="0.35">
      <c r="A324" s="37">
        <v>45002</v>
      </c>
      <c r="B324">
        <v>2023</v>
      </c>
      <c r="C324">
        <v>3</v>
      </c>
      <c r="D324" s="38" t="s">
        <v>18</v>
      </c>
      <c r="E324">
        <v>580</v>
      </c>
      <c r="F324">
        <v>9</v>
      </c>
      <c r="G324">
        <v>72</v>
      </c>
    </row>
    <row r="325" spans="1:7" x14ac:dyDescent="0.35">
      <c r="A325" s="37">
        <v>45003</v>
      </c>
      <c r="B325">
        <v>2023</v>
      </c>
      <c r="C325">
        <v>3</v>
      </c>
      <c r="D325" s="38" t="s">
        <v>18</v>
      </c>
      <c r="E325">
        <v>518</v>
      </c>
      <c r="F325">
        <v>3</v>
      </c>
      <c r="G325">
        <v>12</v>
      </c>
    </row>
    <row r="326" spans="1:7" x14ac:dyDescent="0.35">
      <c r="A326" s="37">
        <v>45003</v>
      </c>
      <c r="B326">
        <v>2023</v>
      </c>
      <c r="C326">
        <v>3</v>
      </c>
      <c r="D326" s="38" t="s">
        <v>18</v>
      </c>
      <c r="E326">
        <v>580</v>
      </c>
      <c r="F326">
        <v>7</v>
      </c>
      <c r="G326">
        <v>56</v>
      </c>
    </row>
    <row r="327" spans="1:7" x14ac:dyDescent="0.35">
      <c r="A327" s="37">
        <v>45004</v>
      </c>
      <c r="B327">
        <v>2023</v>
      </c>
      <c r="C327">
        <v>3</v>
      </c>
      <c r="D327" s="38" t="s">
        <v>18</v>
      </c>
      <c r="E327">
        <v>520</v>
      </c>
      <c r="F327">
        <v>5</v>
      </c>
      <c r="G327">
        <v>20</v>
      </c>
    </row>
    <row r="328" spans="1:7" x14ac:dyDescent="0.35">
      <c r="A328" s="37">
        <v>45005</v>
      </c>
      <c r="B328">
        <v>2023</v>
      </c>
      <c r="C328">
        <v>3</v>
      </c>
      <c r="D328" s="38" t="s">
        <v>18</v>
      </c>
      <c r="E328">
        <v>530</v>
      </c>
      <c r="F328">
        <v>7</v>
      </c>
      <c r="G328">
        <v>59.5</v>
      </c>
    </row>
    <row r="329" spans="1:7" x14ac:dyDescent="0.35">
      <c r="A329" s="37">
        <v>45005</v>
      </c>
      <c r="B329">
        <v>2023</v>
      </c>
      <c r="C329">
        <v>3</v>
      </c>
      <c r="D329" s="38" t="s">
        <v>18</v>
      </c>
      <c r="E329">
        <v>540</v>
      </c>
      <c r="F329">
        <v>10</v>
      </c>
      <c r="G329">
        <v>75</v>
      </c>
    </row>
    <row r="330" spans="1:7" x14ac:dyDescent="0.35">
      <c r="A330" s="37">
        <v>45005</v>
      </c>
      <c r="B330">
        <v>2023</v>
      </c>
      <c r="C330">
        <v>3</v>
      </c>
      <c r="D330" s="38" t="s">
        <v>18</v>
      </c>
      <c r="E330">
        <v>542</v>
      </c>
      <c r="F330">
        <v>2</v>
      </c>
      <c r="G330">
        <v>20</v>
      </c>
    </row>
    <row r="331" spans="1:7" x14ac:dyDescent="0.35">
      <c r="A331" s="37">
        <v>45005</v>
      </c>
      <c r="B331">
        <v>2023</v>
      </c>
      <c r="C331">
        <v>3</v>
      </c>
      <c r="D331" s="38" t="s">
        <v>18</v>
      </c>
      <c r="E331">
        <v>548</v>
      </c>
      <c r="F331">
        <v>5</v>
      </c>
      <c r="G331">
        <v>10</v>
      </c>
    </row>
    <row r="332" spans="1:7" x14ac:dyDescent="0.35">
      <c r="A332" s="37">
        <v>45005</v>
      </c>
      <c r="B332">
        <v>2023</v>
      </c>
      <c r="C332">
        <v>3</v>
      </c>
      <c r="D332" s="38" t="s">
        <v>18</v>
      </c>
      <c r="E332">
        <v>560</v>
      </c>
      <c r="F332">
        <v>10</v>
      </c>
      <c r="G332">
        <v>80</v>
      </c>
    </row>
    <row r="333" spans="1:7" x14ac:dyDescent="0.35">
      <c r="A333" s="37">
        <v>45005</v>
      </c>
      <c r="B333">
        <v>2023</v>
      </c>
      <c r="C333">
        <v>3</v>
      </c>
      <c r="D333" s="38" t="s">
        <v>18</v>
      </c>
      <c r="E333">
        <v>572</v>
      </c>
      <c r="F333">
        <v>6</v>
      </c>
      <c r="G333">
        <v>36</v>
      </c>
    </row>
    <row r="334" spans="1:7" x14ac:dyDescent="0.35">
      <c r="A334" s="37">
        <v>45005</v>
      </c>
      <c r="B334">
        <v>2023</v>
      </c>
      <c r="C334">
        <v>3</v>
      </c>
      <c r="D334" s="38" t="s">
        <v>18</v>
      </c>
      <c r="E334">
        <v>574</v>
      </c>
      <c r="F334">
        <v>5</v>
      </c>
      <c r="G334">
        <v>27.5</v>
      </c>
    </row>
    <row r="335" spans="1:7" x14ac:dyDescent="0.35">
      <c r="A335" s="37">
        <v>45006</v>
      </c>
      <c r="B335">
        <v>2023</v>
      </c>
      <c r="C335">
        <v>3</v>
      </c>
      <c r="D335" s="38" t="s">
        <v>18</v>
      </c>
      <c r="E335">
        <v>568</v>
      </c>
      <c r="F335">
        <v>7</v>
      </c>
      <c r="G335">
        <v>73.5</v>
      </c>
    </row>
    <row r="336" spans="1:7" x14ac:dyDescent="0.35">
      <c r="A336" s="37">
        <v>45007</v>
      </c>
      <c r="B336">
        <v>2023</v>
      </c>
      <c r="C336">
        <v>3</v>
      </c>
      <c r="D336" s="38" t="s">
        <v>18</v>
      </c>
      <c r="E336">
        <v>580</v>
      </c>
      <c r="F336">
        <v>8</v>
      </c>
      <c r="G336">
        <v>64</v>
      </c>
    </row>
    <row r="337" spans="1:7" x14ac:dyDescent="0.35">
      <c r="A337" s="37">
        <v>45007</v>
      </c>
      <c r="B337">
        <v>2023</v>
      </c>
      <c r="C337">
        <v>3</v>
      </c>
      <c r="D337" s="38" t="s">
        <v>18</v>
      </c>
      <c r="E337">
        <v>580</v>
      </c>
      <c r="F337">
        <v>8</v>
      </c>
      <c r="G337">
        <v>64</v>
      </c>
    </row>
    <row r="338" spans="1:7" x14ac:dyDescent="0.35">
      <c r="A338" s="37">
        <v>45007</v>
      </c>
      <c r="B338">
        <v>2023</v>
      </c>
      <c r="C338">
        <v>3</v>
      </c>
      <c r="D338" s="38" t="s">
        <v>18</v>
      </c>
      <c r="E338">
        <v>576</v>
      </c>
      <c r="F338">
        <v>10</v>
      </c>
      <c r="G338">
        <v>125</v>
      </c>
    </row>
  </sheetData>
  <dataValidations count="1">
    <dataValidation type="list" allowBlank="1" showDropDown="1" showInputMessage="1" showErrorMessage="1" sqref="I11" xr:uid="{31CB4E27-846D-471F-B811-34007B1E41E4}">
      <formula1>$B:$B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EB7-7FDD-4E70-A455-DE970065071B}">
  <sheetPr>
    <tabColor theme="1"/>
  </sheetPr>
  <dimension ref="A1:I14"/>
  <sheetViews>
    <sheetView showGridLines="0" zoomScale="78" zoomScaleNormal="78" workbookViewId="0">
      <selection activeCell="D2" sqref="D2:E2"/>
    </sheetView>
  </sheetViews>
  <sheetFormatPr defaultRowHeight="14.5" x14ac:dyDescent="0.35"/>
  <cols>
    <col min="1" max="2" width="17.90625" bestFit="1" customWidth="1"/>
    <col min="3" max="3" width="3.453125" customWidth="1"/>
    <col min="4" max="4" width="11.90625" bestFit="1" customWidth="1"/>
    <col min="5" max="5" width="14.54296875" customWidth="1"/>
    <col min="6" max="6" width="2.6328125" customWidth="1"/>
    <col min="8" max="8" width="11.90625" bestFit="1" customWidth="1"/>
    <col min="9" max="9" width="12.08984375" bestFit="1" customWidth="1"/>
  </cols>
  <sheetData>
    <row r="1" spans="1:9" ht="15" thickBot="1" x14ac:dyDescent="0.4">
      <c r="A1" s="1" t="s">
        <v>0</v>
      </c>
      <c r="B1" s="39">
        <f>Dashboard!R12</f>
        <v>2022</v>
      </c>
      <c r="D1" s="13" t="s">
        <v>4</v>
      </c>
      <c r="E1" s="14"/>
      <c r="G1" s="13" t="s">
        <v>5</v>
      </c>
      <c r="H1" s="15"/>
      <c r="I1" s="14"/>
    </row>
    <row r="2" spans="1:9" ht="15" thickBot="1" x14ac:dyDescent="0.4">
      <c r="D2" s="16" cm="1">
        <f t="array" ref="D2:D3">_xlfn.UNIQUE(Vendas_Dashboard[Ano])</f>
        <v>2022</v>
      </c>
      <c r="E2" s="17">
        <f>IFERROR(SUMIF('Vendas Dashboard'!B:B,'Base Funções'!D2,'Vendas Dashboard'!G:G),"")</f>
        <v>8065.5</v>
      </c>
      <c r="G2" s="2" t="s">
        <v>6</v>
      </c>
      <c r="H2" s="3" t="s">
        <v>1</v>
      </c>
      <c r="I2" s="4" t="s">
        <v>7</v>
      </c>
    </row>
    <row r="3" spans="1:9" ht="15" thickBot="1" x14ac:dyDescent="0.4">
      <c r="A3" s="5" t="s">
        <v>2</v>
      </c>
      <c r="B3" s="6">
        <f>SUMIF('Vendas Dashboard'!B:B,'Base Funções'!B1,'Vendas Dashboard'!F:F)</f>
        <v>1338</v>
      </c>
      <c r="D3" s="18">
        <v>2023</v>
      </c>
      <c r="E3" s="17">
        <f>IFERROR(SUMIF('Vendas Dashboard'!B:B,'Base Funções'!D3,'Vendas Dashboard'!G:G),"")</f>
        <v>3681</v>
      </c>
      <c r="G3" s="7">
        <v>1</v>
      </c>
      <c r="H3" s="8" t="str">
        <f>LEFT(_xlfn.XLOOKUP(G3,'Vendas Dashboard'!C:C,'Vendas Dashboard'!D:D,"",0),3)</f>
        <v>Jan</v>
      </c>
      <c r="I3" s="9">
        <f>SUMIFS('Vendas Dashboard'!G:G,'Vendas Dashboard'!B:B,'Base Funções'!$B$1,'Vendas Dashboard'!C:C,'Base Funções'!G3)</f>
        <v>784.5</v>
      </c>
    </row>
    <row r="4" spans="1:9" ht="15" thickBot="1" x14ac:dyDescent="0.4">
      <c r="D4" s="18"/>
      <c r="E4" s="17"/>
      <c r="G4" s="10">
        <v>2</v>
      </c>
      <c r="H4" s="8" t="str">
        <f>LEFT(_xlfn.XLOOKUP(G4,'Vendas Dashboard'!C:C,'Vendas Dashboard'!D:D,"",0),3)</f>
        <v>Fev</v>
      </c>
      <c r="I4" s="9">
        <f>SUMIFS('Vendas Dashboard'!G:G,'Vendas Dashboard'!B:B,'Base Funções'!$B$1,'Vendas Dashboard'!C:C,'Base Funções'!G4)</f>
        <v>667</v>
      </c>
    </row>
    <row r="5" spans="1:9" ht="15" thickBot="1" x14ac:dyDescent="0.4">
      <c r="A5" s="5" t="s">
        <v>3</v>
      </c>
      <c r="B5" s="11">
        <f>MAX(I3:I14)</f>
        <v>836.5</v>
      </c>
      <c r="D5" s="18"/>
      <c r="E5" s="17"/>
      <c r="G5" s="10">
        <v>3</v>
      </c>
      <c r="H5" s="8" t="str">
        <f>LEFT(_xlfn.XLOOKUP(G5,'Vendas Dashboard'!C:C,'Vendas Dashboard'!D:D,"",0),3)</f>
        <v>Mar</v>
      </c>
      <c r="I5" s="9">
        <f>SUMIFS('Vendas Dashboard'!G:G,'Vendas Dashboard'!B:B,'Base Funções'!$B$1,'Vendas Dashboard'!C:C,'Base Funções'!G5)</f>
        <v>664</v>
      </c>
    </row>
    <row r="6" spans="1:9" ht="15" thickBot="1" x14ac:dyDescent="0.4">
      <c r="D6" s="18"/>
      <c r="E6" s="17"/>
      <c r="G6" s="10">
        <v>4</v>
      </c>
      <c r="H6" s="8" t="str">
        <f>LEFT(_xlfn.XLOOKUP(G6,'Vendas Dashboard'!C:C,'Vendas Dashboard'!D:D,"",0),3)</f>
        <v>Abr</v>
      </c>
      <c r="I6" s="9">
        <f>SUMIFS('Vendas Dashboard'!G:G,'Vendas Dashboard'!B:B,'Base Funções'!$B$1,'Vendas Dashboard'!C:C,'Base Funções'!G6)</f>
        <v>531.5</v>
      </c>
    </row>
    <row r="7" spans="1:9" ht="15" thickBot="1" x14ac:dyDescent="0.4">
      <c r="A7" s="5" t="s">
        <v>8</v>
      </c>
      <c r="B7" s="12" t="str">
        <f>_xlfn.XLOOKUP(B5,I3:I14,H3:H14,"",0)</f>
        <v>Dez</v>
      </c>
      <c r="D7" s="18"/>
      <c r="E7" s="17"/>
      <c r="G7" s="10">
        <v>5</v>
      </c>
      <c r="H7" s="8" t="str">
        <f>LEFT(_xlfn.XLOOKUP(G7,'Vendas Dashboard'!C:C,'Vendas Dashboard'!D:D,"",0),3)</f>
        <v>Mai</v>
      </c>
      <c r="I7" s="9">
        <f>SUMIFS('Vendas Dashboard'!G:G,'Vendas Dashboard'!B:B,'Base Funções'!$B$1,'Vendas Dashboard'!C:C,'Base Funções'!G7)</f>
        <v>712.5</v>
      </c>
    </row>
    <row r="8" spans="1:9" x14ac:dyDescent="0.35">
      <c r="D8" s="18"/>
      <c r="E8" s="17"/>
      <c r="G8" s="10">
        <v>6</v>
      </c>
      <c r="H8" s="8" t="str">
        <f>LEFT(_xlfn.XLOOKUP(G8,'Vendas Dashboard'!C:C,'Vendas Dashboard'!D:D,"",0),3)</f>
        <v>Jun</v>
      </c>
      <c r="I8" s="9">
        <f>SUMIFS('Vendas Dashboard'!G:G,'Vendas Dashboard'!B:B,'Base Funções'!$B$1,'Vendas Dashboard'!C:C,'Base Funções'!G8)</f>
        <v>762.5</v>
      </c>
    </row>
    <row r="9" spans="1:9" x14ac:dyDescent="0.35">
      <c r="D9" s="18"/>
      <c r="E9" s="17"/>
      <c r="G9" s="10">
        <v>7</v>
      </c>
      <c r="H9" s="8" t="str">
        <f>LEFT(_xlfn.XLOOKUP(G9,'Vendas Dashboard'!C:C,'Vendas Dashboard'!D:D,"",0),3)</f>
        <v>Jul</v>
      </c>
      <c r="I9" s="9">
        <f>SUMIFS('Vendas Dashboard'!G:G,'Vendas Dashboard'!B:B,'Base Funções'!$B$1,'Vendas Dashboard'!C:C,'Base Funções'!G9)</f>
        <v>624.5</v>
      </c>
    </row>
    <row r="10" spans="1:9" ht="15" thickBot="1" x14ac:dyDescent="0.4">
      <c r="D10" s="43"/>
      <c r="E10" s="44"/>
      <c r="G10" s="10">
        <v>8</v>
      </c>
      <c r="H10" s="8" t="str">
        <f>LEFT(_xlfn.XLOOKUP(G10,'Vendas Dashboard'!C:C,'Vendas Dashboard'!D:D,"",0),3)</f>
        <v>Ago</v>
      </c>
      <c r="I10" s="9">
        <f>SUMIFS('Vendas Dashboard'!G:G,'Vendas Dashboard'!B:B,'Base Funções'!$B$1,'Vendas Dashboard'!C:C,'Base Funções'!G10)</f>
        <v>651</v>
      </c>
    </row>
    <row r="11" spans="1:9" x14ac:dyDescent="0.35">
      <c r="G11" s="10">
        <v>9</v>
      </c>
      <c r="H11" s="8" t="str">
        <f>LEFT(_xlfn.XLOOKUP(G11,'Vendas Dashboard'!C:C,'Vendas Dashboard'!D:D,"",0),3)</f>
        <v>Set</v>
      </c>
      <c r="I11" s="9">
        <f>SUMIFS('Vendas Dashboard'!G:G,'Vendas Dashboard'!B:B,'Base Funções'!$B$1,'Vendas Dashboard'!C:C,'Base Funções'!G11)</f>
        <v>529</v>
      </c>
    </row>
    <row r="12" spans="1:9" x14ac:dyDescent="0.35">
      <c r="G12" s="10">
        <v>10</v>
      </c>
      <c r="H12" s="8" t="str">
        <f>LEFT(_xlfn.XLOOKUP(G12,'Vendas Dashboard'!C:C,'Vendas Dashboard'!D:D,"",0),3)</f>
        <v>Out</v>
      </c>
      <c r="I12" s="9">
        <f>SUMIFS('Vendas Dashboard'!G:G,'Vendas Dashboard'!B:B,'Base Funções'!$B$1,'Vendas Dashboard'!C:C,'Base Funções'!G12)</f>
        <v>691</v>
      </c>
    </row>
    <row r="13" spans="1:9" x14ac:dyDescent="0.35">
      <c r="G13" s="10">
        <v>11</v>
      </c>
      <c r="H13" s="8" t="str">
        <f>LEFT(_xlfn.XLOOKUP(G13,'Vendas Dashboard'!C:C,'Vendas Dashboard'!D:D,"",0),3)</f>
        <v>Nov</v>
      </c>
      <c r="I13" s="9">
        <f>SUMIFS('Vendas Dashboard'!G:G,'Vendas Dashboard'!B:B,'Base Funções'!$B$1,'Vendas Dashboard'!C:C,'Base Funções'!G13)</f>
        <v>611.5</v>
      </c>
    </row>
    <row r="14" spans="1:9" ht="15" thickBot="1" x14ac:dyDescent="0.4">
      <c r="G14" s="41">
        <v>12</v>
      </c>
      <c r="H14" s="42" t="str">
        <f>LEFT(_xlfn.XLOOKUP(G14,'Vendas Dashboard'!C:C,'Vendas Dashboard'!D:D,"",0),3)</f>
        <v>Dez</v>
      </c>
      <c r="I14" s="40">
        <f>SUMIFS('Vendas Dashboard'!G:G,'Vendas Dashboard'!B:B,'Base Funções'!$B$1,'Vendas Dashboard'!C:C,'Base Funções'!G14)</f>
        <v>836.5</v>
      </c>
    </row>
  </sheetData>
  <mergeCells count="2">
    <mergeCell ref="D1:E1"/>
    <mergeCell ref="G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9599-7FA7-465F-9FA7-4F0B9B4EDD61}">
  <sheetPr>
    <tabColor theme="9"/>
  </sheetPr>
  <dimension ref="A1:B3"/>
  <sheetViews>
    <sheetView workbookViewId="0">
      <selection activeCell="O11" sqref="O11"/>
    </sheetView>
  </sheetViews>
  <sheetFormatPr defaultRowHeight="14.5" x14ac:dyDescent="0.35"/>
  <cols>
    <col min="1" max="1" width="6.6328125" bestFit="1" customWidth="1"/>
    <col min="2" max="2" width="19.726562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>
        <v>2022</v>
      </c>
      <c r="B2">
        <v>8065.5</v>
      </c>
    </row>
    <row r="3" spans="1:2" x14ac:dyDescent="0.35">
      <c r="A3">
        <v>2023</v>
      </c>
      <c r="B3">
        <v>3681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A6B2-95B9-46CA-9569-F381B7EB7852}">
  <sheetPr>
    <tabColor theme="9"/>
  </sheetPr>
  <dimension ref="A1:C13"/>
  <sheetViews>
    <sheetView workbookViewId="0">
      <selection sqref="A1:C13"/>
    </sheetView>
  </sheetViews>
  <sheetFormatPr defaultRowHeight="14.5" x14ac:dyDescent="0.35"/>
  <cols>
    <col min="1" max="1" width="23.54296875" bestFit="1" customWidth="1"/>
    <col min="2" max="2" width="33.54296875" bestFit="1" customWidth="1"/>
    <col min="3" max="4" width="14.1796875" bestFit="1" customWidth="1"/>
    <col min="5" max="5" width="23.26953125" bestFit="1" customWidth="1"/>
    <col min="6" max="6" width="23.54296875" bestFit="1" customWidth="1"/>
    <col min="7" max="7" width="32" bestFit="1" customWidth="1"/>
    <col min="8" max="8" width="29" bestFit="1" customWidth="1"/>
    <col min="9" max="9" width="30" bestFit="1" customWidth="1"/>
    <col min="10" max="10" width="24.6328125" bestFit="1" customWidth="1"/>
  </cols>
  <sheetData>
    <row r="1" spans="1:3" x14ac:dyDescent="0.35">
      <c r="A1" t="s">
        <v>28</v>
      </c>
      <c r="B1" t="s">
        <v>29</v>
      </c>
      <c r="C1" t="s">
        <v>7</v>
      </c>
    </row>
    <row r="2" spans="1:3" x14ac:dyDescent="0.35">
      <c r="A2">
        <v>1</v>
      </c>
      <c r="B2" s="38" t="s">
        <v>30</v>
      </c>
      <c r="C2">
        <v>784.5</v>
      </c>
    </row>
    <row r="3" spans="1:3" x14ac:dyDescent="0.35">
      <c r="A3">
        <v>2</v>
      </c>
      <c r="B3" s="38" t="s">
        <v>31</v>
      </c>
      <c r="C3">
        <v>667</v>
      </c>
    </row>
    <row r="4" spans="1:3" x14ac:dyDescent="0.35">
      <c r="A4">
        <v>3</v>
      </c>
      <c r="B4" s="38" t="s">
        <v>32</v>
      </c>
      <c r="C4">
        <v>664</v>
      </c>
    </row>
    <row r="5" spans="1:3" x14ac:dyDescent="0.35">
      <c r="A5">
        <v>4</v>
      </c>
      <c r="B5" s="38" t="s">
        <v>33</v>
      </c>
      <c r="C5">
        <v>531.5</v>
      </c>
    </row>
    <row r="6" spans="1:3" x14ac:dyDescent="0.35">
      <c r="A6">
        <v>5</v>
      </c>
      <c r="B6" s="38" t="s">
        <v>34</v>
      </c>
      <c r="C6">
        <v>712.5</v>
      </c>
    </row>
    <row r="7" spans="1:3" x14ac:dyDescent="0.35">
      <c r="A7">
        <v>6</v>
      </c>
      <c r="B7" s="38" t="s">
        <v>35</v>
      </c>
      <c r="C7">
        <v>762.5</v>
      </c>
    </row>
    <row r="8" spans="1:3" x14ac:dyDescent="0.35">
      <c r="A8">
        <v>7</v>
      </c>
      <c r="B8" s="38" t="s">
        <v>36</v>
      </c>
      <c r="C8">
        <v>624.5</v>
      </c>
    </row>
    <row r="9" spans="1:3" x14ac:dyDescent="0.35">
      <c r="A9">
        <v>8</v>
      </c>
      <c r="B9" s="38" t="s">
        <v>37</v>
      </c>
      <c r="C9">
        <v>651</v>
      </c>
    </row>
    <row r="10" spans="1:3" x14ac:dyDescent="0.35">
      <c r="A10">
        <v>9</v>
      </c>
      <c r="B10" s="38" t="s">
        <v>38</v>
      </c>
      <c r="C10">
        <v>529</v>
      </c>
    </row>
    <row r="11" spans="1:3" x14ac:dyDescent="0.35">
      <c r="A11">
        <v>10</v>
      </c>
      <c r="B11" s="38" t="s">
        <v>39</v>
      </c>
      <c r="C11">
        <v>691</v>
      </c>
    </row>
    <row r="12" spans="1:3" x14ac:dyDescent="0.35">
      <c r="A12">
        <v>11</v>
      </c>
      <c r="B12" s="38" t="s">
        <v>40</v>
      </c>
      <c r="C12">
        <v>611.5</v>
      </c>
    </row>
    <row r="13" spans="1:3" x14ac:dyDescent="0.35">
      <c r="A13">
        <v>12</v>
      </c>
      <c r="B13" s="38" t="s">
        <v>41</v>
      </c>
      <c r="C13">
        <v>836.5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DBDD-648C-4F69-A849-A19E3B9AE646}">
  <sheetPr>
    <tabColor theme="1"/>
  </sheetPr>
  <dimension ref="A1:A2"/>
  <sheetViews>
    <sheetView showGridLines="0" zoomScale="78" zoomScaleNormal="78" workbookViewId="0">
      <selection activeCell="G31" sqref="G31"/>
    </sheetView>
  </sheetViews>
  <sheetFormatPr defaultRowHeight="14.5" x14ac:dyDescent="0.35"/>
  <cols>
    <col min="1" max="2" width="17.90625" bestFit="1" customWidth="1"/>
    <col min="3" max="3" width="3.453125" customWidth="1"/>
    <col min="4" max="4" width="11.90625" bestFit="1" customWidth="1"/>
    <col min="5" max="5" width="14.54296875" customWidth="1"/>
    <col min="6" max="6" width="2.6328125" customWidth="1"/>
    <col min="8" max="8" width="11.90625" bestFit="1" customWidth="1"/>
    <col min="9" max="9" width="12.08984375" bestFit="1" customWidth="1"/>
  </cols>
  <sheetData>
    <row r="1" spans="1:1" x14ac:dyDescent="0.35">
      <c r="A1" t="s">
        <v>0</v>
      </c>
    </row>
    <row r="2" spans="1:1" x14ac:dyDescent="0.35">
      <c r="A2">
        <v>2022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EFB8F7-7BA6-437F-A0ED-07B0589E2771}">
          <x14:formula1>
            <xm:f>'Vendas Dashboard'!$B:$B</xm:f>
          </x14:formula1>
          <xm:sqref>A2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124E2-1910-4CF6-B55A-348D95347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Vendas Dashboard</vt:lpstr>
      <vt:lpstr>Base Funções</vt:lpstr>
      <vt:lpstr>FaturamentoAnual</vt:lpstr>
      <vt:lpstr>VendasFiltradas</vt:lpstr>
      <vt:lpstr>Base PowerQuery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Ana Eliza Yukimoto de Oliveira</cp:lastModifiedBy>
  <dcterms:created xsi:type="dcterms:W3CDTF">2023-03-25T14:22:56Z</dcterms:created>
  <dcterms:modified xsi:type="dcterms:W3CDTF">2026-01-28T18:38:21Z</dcterms:modified>
</cp:coreProperties>
</file>