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 hidePivotFieldList="1"/>
  <xr:revisionPtr revIDLastSave="0" documentId="8_{3340D298-969C-4674-B3B7-E8C5F0B6A604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Produtos" sheetId="1" r:id="rId1"/>
    <sheet name="Tabelas de Produtos" sheetId="2" r:id="rId2"/>
    <sheet name="Vendas" sheetId="7" r:id="rId3"/>
    <sheet name="Tabela Dinamica" sheetId="3" r:id="rId4"/>
    <sheet name="Filtro Avançado" sheetId="4" r:id="rId5"/>
    <sheet name="Contagem Produtos" sheetId="5" r:id="rId6"/>
    <sheet name="Dashboard" sheetId="6" r:id="rId7"/>
    <sheet name="Dados" sheetId="8" r:id="rId8"/>
  </sheets>
  <definedNames>
    <definedName name="_xlnm._FilterDatabase" localSheetId="0" hidden="1">Produtos!$A$3:$E$23</definedName>
    <definedName name="_xlnm._FilterDatabase" localSheetId="1" hidden="1">'Tabelas de Produtos'!$A$3:$A$23</definedName>
    <definedName name="int_nome_produto">Produtos!$A$4:$A$23</definedName>
  </definedNames>
  <calcPr calcId="191028"/>
  <pivotCaches>
    <pivotCache cacheId="1410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" l="1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O3" i="8"/>
  <c r="O4" i="8"/>
  <c r="O2" i="8"/>
  <c r="M2" i="8" s="1"/>
  <c r="N2" i="8" s="1"/>
  <c r="H5" i="5"/>
  <c r="A35" i="7"/>
  <c r="A34" i="7"/>
  <c r="A33" i="7"/>
  <c r="A32" i="7"/>
  <c r="A31" i="7"/>
  <c r="A24" i="7"/>
  <c r="A30" i="7"/>
  <c r="A29" i="7"/>
  <c r="A28" i="7"/>
  <c r="A27" i="7"/>
  <c r="A26" i="7"/>
  <c r="A25" i="7"/>
  <c r="C4" i="8"/>
  <c r="B4" i="8"/>
  <c r="C3" i="8"/>
  <c r="B3" i="8"/>
  <c r="C2" i="8"/>
  <c r="B2" i="8"/>
  <c r="Z3" i="6"/>
  <c r="B3" i="6"/>
  <c r="N3" i="6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4" i="7"/>
  <c r="E24" i="2"/>
  <c r="G24" i="2"/>
  <c r="H24" i="2"/>
  <c r="O6" i="2"/>
  <c r="O5" i="2"/>
  <c r="J5" i="5"/>
  <c r="E5" i="5"/>
  <c r="I5" i="5"/>
  <c r="B5" i="5"/>
  <c r="C5" i="5"/>
  <c r="F5" i="2"/>
  <c r="F23" i="2"/>
  <c r="F20" i="2"/>
  <c r="F18" i="2"/>
  <c r="F13" i="2"/>
  <c r="F17" i="2"/>
  <c r="F14" i="2"/>
  <c r="F22" i="2"/>
  <c r="F19" i="2"/>
  <c r="F21" i="2"/>
  <c r="F16" i="2"/>
  <c r="F6" i="2"/>
  <c r="F8" i="2"/>
  <c r="F7" i="2"/>
  <c r="F15" i="2"/>
  <c r="F12" i="2"/>
  <c r="F10" i="2"/>
  <c r="F11" i="2"/>
  <c r="F4" i="2"/>
  <c r="F9" i="2"/>
  <c r="I5" i="2"/>
  <c r="I10" i="2"/>
  <c r="J5" i="2"/>
  <c r="I23" i="2"/>
  <c r="J23" i="2" s="1"/>
  <c r="I20" i="2"/>
  <c r="J20" i="2" s="1"/>
  <c r="I18" i="2"/>
  <c r="J18" i="2" s="1"/>
  <c r="I13" i="2"/>
  <c r="J13" i="2" s="1"/>
  <c r="I17" i="2"/>
  <c r="J17" i="2" s="1"/>
  <c r="I14" i="2"/>
  <c r="J14" i="2" s="1"/>
  <c r="I22" i="2"/>
  <c r="J22" i="2" s="1"/>
  <c r="I19" i="2"/>
  <c r="J19" i="2" s="1"/>
  <c r="I21" i="2"/>
  <c r="J21" i="2" s="1"/>
  <c r="I16" i="2"/>
  <c r="J16" i="2" s="1"/>
  <c r="I6" i="2"/>
  <c r="J6" i="2" s="1"/>
  <c r="I8" i="2"/>
  <c r="J8" i="2" s="1"/>
  <c r="I7" i="2"/>
  <c r="J7" i="2" s="1"/>
  <c r="I15" i="2"/>
  <c r="J15" i="2" s="1"/>
  <c r="I12" i="2"/>
  <c r="J12" i="2" s="1"/>
  <c r="I11" i="2"/>
  <c r="J11" i="2" s="1"/>
  <c r="I4" i="2"/>
  <c r="J4" i="2" s="1"/>
  <c r="I9" i="2"/>
  <c r="J9" i="2" s="1"/>
  <c r="D5" i="5"/>
  <c r="O4" i="2"/>
  <c r="M4" i="8" l="1"/>
  <c r="N4" i="8" s="1"/>
  <c r="M3" i="8"/>
  <c r="N3" i="8" s="1"/>
  <c r="H2" i="8"/>
  <c r="I3" i="8"/>
  <c r="I4" i="8"/>
  <c r="I5" i="8"/>
  <c r="I6" i="8"/>
  <c r="I7" i="8"/>
  <c r="I8" i="8"/>
  <c r="I9" i="8"/>
  <c r="I10" i="8"/>
  <c r="I11" i="8"/>
  <c r="I12" i="8"/>
  <c r="I13" i="8"/>
  <c r="I2" i="8"/>
  <c r="H3" i="8"/>
  <c r="H4" i="8"/>
  <c r="H5" i="8"/>
  <c r="H6" i="8"/>
  <c r="H7" i="8"/>
  <c r="H8" i="8"/>
  <c r="H9" i="8"/>
  <c r="H10" i="8"/>
  <c r="H11" i="8"/>
  <c r="H12" i="8"/>
  <c r="H13" i="8"/>
  <c r="I24" i="2"/>
  <c r="F24" i="2"/>
  <c r="J10" i="2"/>
  <c r="J24" i="2" l="1"/>
  <c r="B6" i="4" a="1"/>
  <c r="B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<sst xmlns="http://schemas.openxmlformats.org/spreadsheetml/2006/main" count="357" uniqueCount="106">
  <si>
    <t xml:space="preserve">Meteora </t>
  </si>
  <si>
    <t>Produtos</t>
  </si>
  <si>
    <t>Tamanho</t>
  </si>
  <si>
    <t>Categoria</t>
  </si>
  <si>
    <t>Preço Unitário</t>
  </si>
  <si>
    <t>Quantidade</t>
  </si>
  <si>
    <t>Camiseta Lisa</t>
  </si>
  <si>
    <t>P</t>
  </si>
  <si>
    <t>Vestuário</t>
  </si>
  <si>
    <t>M</t>
  </si>
  <si>
    <t>G</t>
  </si>
  <si>
    <t xml:space="preserve">Óculos </t>
  </si>
  <si>
    <t>Único</t>
  </si>
  <si>
    <t>Acessórios</t>
  </si>
  <si>
    <t xml:space="preserve">Jaqueta </t>
  </si>
  <si>
    <t xml:space="preserve">Calça </t>
  </si>
  <si>
    <t xml:space="preserve">Vestido </t>
  </si>
  <si>
    <t>Bermuda</t>
  </si>
  <si>
    <t>Tênis</t>
  </si>
  <si>
    <t>Calçado</t>
  </si>
  <si>
    <t>Bolsa</t>
  </si>
  <si>
    <t>Boné</t>
  </si>
  <si>
    <t>Cinto</t>
  </si>
  <si>
    <t>Código</t>
  </si>
  <si>
    <t>Preço c/ Desconto</t>
  </si>
  <si>
    <t>Situação</t>
  </si>
  <si>
    <t>Valor Total</t>
  </si>
  <si>
    <t>Valor de Desconto</t>
  </si>
  <si>
    <t>PR002</t>
  </si>
  <si>
    <t>Desconto</t>
  </si>
  <si>
    <t>PONTO E VIRGULA (SOMENTE)</t>
  </si>
  <si>
    <t>PR003</t>
  </si>
  <si>
    <t xml:space="preserve">DOIS PONTOS (TUDO) </t>
  </si>
  <si>
    <t>PR004</t>
  </si>
  <si>
    <t>REFERENCIA ABSOLUTA (F4)</t>
  </si>
  <si>
    <t>PR005</t>
  </si>
  <si>
    <t>PR006</t>
  </si>
  <si>
    <t>PR007</t>
  </si>
  <si>
    <t>PR001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</si>
  <si>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</si>
  <si>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</si>
  <si>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</si>
  <si>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</si>
  <si>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</si>
  <si>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</si>
  <si>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</si>
  <si>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</si>
  <si>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</si>
  <si>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</si>
  <si>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</si>
  <si>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</si>
  <si>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</si>
  <si>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Total</t>
  </si>
  <si>
    <t>Meteora - Vendas</t>
  </si>
  <si>
    <t>Mês</t>
  </si>
  <si>
    <t>Data</t>
  </si>
  <si>
    <t>Unitário</t>
  </si>
  <si>
    <t>Vendedor</t>
  </si>
  <si>
    <t>João</t>
  </si>
  <si>
    <t>Calçados</t>
  </si>
  <si>
    <t>Clara</t>
  </si>
  <si>
    <t>Sarah</t>
  </si>
  <si>
    <t>Soma de Quantidade</t>
  </si>
  <si>
    <t>Lado direito do mouse para adicionar o gráfico em outra tabela</t>
  </si>
  <si>
    <t>Total Geral</t>
  </si>
  <si>
    <t xml:space="preserve">Meus Números </t>
  </si>
  <si>
    <t xml:space="preserve">Todos os Produtos </t>
  </si>
  <si>
    <t>--&gt;</t>
  </si>
  <si>
    <t>Contagem de Produtos (Nome)</t>
  </si>
  <si>
    <t>Contagem de Produtos (Quantidade)</t>
  </si>
  <si>
    <t>Soma Qtd. Estoque</t>
  </si>
  <si>
    <t xml:space="preserve">Média de Qtd. Estoque </t>
  </si>
  <si>
    <t>Contagem de Produtos</t>
  </si>
  <si>
    <t>Soma Qtd. Estoque_SE</t>
  </si>
  <si>
    <t>Média Qtd. Estoque_SE</t>
  </si>
  <si>
    <t xml:space="preserve">Em Tabelas </t>
  </si>
  <si>
    <t>=CONT.VALORES(Tabela1[Produtos])'</t>
  </si>
  <si>
    <t xml:space="preserve">Sem Tabelas </t>
  </si>
  <si>
    <t>=CONT.VALORES(Produtos!E4:E23)'</t>
  </si>
  <si>
    <t>Total de Produtos</t>
  </si>
  <si>
    <t>Produtos Vendidos</t>
  </si>
  <si>
    <t>Total de Vendas</t>
  </si>
  <si>
    <t xml:space="preserve">Vendas Mensais </t>
  </si>
  <si>
    <t xml:space="preserve">Vendas por Categoria </t>
  </si>
  <si>
    <t>Ranking Vendedores</t>
  </si>
  <si>
    <t>Vendedores</t>
  </si>
  <si>
    <t>Qtd. Vendida</t>
  </si>
  <si>
    <t>Total Vendido</t>
  </si>
  <si>
    <t xml:space="preserve">N Mes </t>
  </si>
  <si>
    <t xml:space="preserve">Meses </t>
  </si>
  <si>
    <t xml:space="preserve">Faturamento </t>
  </si>
  <si>
    <t>Qtd.</t>
  </si>
  <si>
    <t>% Categoria</t>
  </si>
  <si>
    <t>% Restante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</si>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</sst>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FFFFFF"/>
      <name val="Aptos Narrow"/>
      <scheme val="minor"/>
    </font>
    <font>
      <sz val="26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0F9ED5"/>
      </left>
      <right style="thin">
        <color rgb="FF0F9ED5"/>
      </right>
      <top style="thin">
        <color rgb="FF0F9ED5"/>
      </top>
      <bottom style="thin">
        <color rgb="FF0F9ED5"/>
      </bottom>
      <diagonal/>
    </border>
    <border>
      <left style="thin">
        <color rgb="FF0F9ED5"/>
      </left>
      <right style="thin">
        <color rgb="FF0F9ED5"/>
      </right>
      <top style="thin">
        <color rgb="FF0F9ED5"/>
      </top>
      <bottom/>
      <diagonal/>
    </border>
    <border>
      <left style="thin">
        <color rgb="FF0F9ED5"/>
      </left>
      <right style="thin">
        <color rgb="FF0F9ED5"/>
      </right>
      <top/>
      <bottom style="thin">
        <color rgb="FF0F9ED5"/>
      </bottom>
      <diagonal/>
    </border>
    <border>
      <left/>
      <right style="thin">
        <color rgb="FF0F9ED5"/>
      </right>
      <top/>
      <bottom style="thin">
        <color rgb="FF0F9ED5"/>
      </bottom>
      <diagonal/>
    </border>
    <border>
      <left/>
      <right style="thin">
        <color rgb="FF0F9ED5"/>
      </right>
      <top style="thin">
        <color rgb="FF0F9ED5"/>
      </top>
      <bottom/>
      <diagonal/>
    </border>
    <border>
      <left/>
      <right/>
      <top style="thin">
        <color rgb="FF0F9ED5"/>
      </top>
      <bottom/>
      <diagonal/>
    </border>
    <border>
      <left/>
      <right/>
      <top/>
      <bottom style="thin">
        <color rgb="FF0F9ED5"/>
      </bottom>
      <diagonal/>
    </border>
    <border>
      <left style="thin">
        <color rgb="FF0F9ED5"/>
      </left>
      <right/>
      <top style="thin">
        <color rgb="FF0F9ED5"/>
      </top>
      <bottom/>
      <diagonal/>
    </border>
    <border>
      <left style="thin">
        <color rgb="FF0F9ED5"/>
      </left>
      <right/>
      <top/>
      <bottom/>
      <diagonal/>
    </border>
    <border>
      <left/>
      <right style="thin">
        <color rgb="FF0F9ED5"/>
      </right>
      <top/>
      <bottom/>
      <diagonal/>
    </border>
    <border>
      <left style="thin">
        <color rgb="FF0F9ED5"/>
      </left>
      <right/>
      <top/>
      <bottom style="thin">
        <color rgb="FF0F9ED5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rgb="FF0F9ED5"/>
      </left>
      <right/>
      <top style="thin">
        <color rgb="FF0F9ED5"/>
      </top>
      <bottom style="thin">
        <color rgb="FF0F9ED5"/>
      </bottom>
      <diagonal/>
    </border>
    <border>
      <left/>
      <right style="thin">
        <color rgb="FF0F9ED5"/>
      </right>
      <top style="thin">
        <color rgb="FF0F9ED5"/>
      </top>
      <bottom style="thin">
        <color rgb="FF0F9ED5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164" fontId="0" fillId="0" borderId="0" xfId="0" applyNumberFormat="1"/>
    <xf numFmtId="44" fontId="0" fillId="0" borderId="0" xfId="0" applyNumberFormat="1"/>
    <xf numFmtId="164" fontId="1" fillId="0" borderId="0" xfId="0" applyNumberFormat="1" applyFont="1"/>
    <xf numFmtId="0" fontId="3" fillId="3" borderId="1" xfId="0" applyFont="1" applyFill="1" applyBorder="1"/>
    <xf numFmtId="9" fontId="1" fillId="4" borderId="2" xfId="0" applyNumberFormat="1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0" borderId="0" xfId="0" applyBorder="1"/>
    <xf numFmtId="0" fontId="3" fillId="5" borderId="4" xfId="0" applyFont="1" applyFill="1" applyBorder="1"/>
    <xf numFmtId="0" fontId="3" fillId="5" borderId="4" xfId="0" applyFont="1" applyFill="1" applyBorder="1" applyAlignment="1">
      <alignment horizontal="left"/>
    </xf>
    <xf numFmtId="0" fontId="3" fillId="5" borderId="4" xfId="0" applyFont="1" applyFill="1" applyBorder="1" applyAlignment="1">
      <alignment wrapText="1"/>
    </xf>
    <xf numFmtId="0" fontId="0" fillId="0" borderId="0" xfId="0" applyBorder="1" applyAlignment="1">
      <alignment horizontal="left"/>
    </xf>
    <xf numFmtId="0" fontId="5" fillId="0" borderId="0" xfId="0" applyFont="1"/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Fill="1"/>
    <xf numFmtId="0" fontId="0" fillId="0" borderId="14" xfId="0" applyFont="1" applyBorder="1"/>
    <xf numFmtId="0" fontId="3" fillId="5" borderId="14" xfId="0" applyFont="1" applyFill="1" applyBorder="1" applyAlignment="1">
      <alignment horizontal="left"/>
    </xf>
    <xf numFmtId="164" fontId="0" fillId="0" borderId="15" xfId="0" applyNumberFormat="1" applyFont="1" applyBorder="1"/>
    <xf numFmtId="0" fontId="0" fillId="0" borderId="15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/>
    <xf numFmtId="0" fontId="0" fillId="0" borderId="0" xfId="0" applyFont="1" applyBorder="1" applyAlignment="1">
      <alignment horizontal="center"/>
    </xf>
    <xf numFmtId="0" fontId="0" fillId="4" borderId="0" xfId="0" applyFill="1"/>
    <xf numFmtId="0" fontId="0" fillId="0" borderId="0" xfId="0" applyFont="1" applyBorder="1" applyAlignment="1"/>
    <xf numFmtId="14" fontId="0" fillId="0" borderId="15" xfId="0" applyNumberFormat="1" applyFont="1" applyBorder="1" applyAlignment="1">
      <alignment horizontal="center"/>
    </xf>
    <xf numFmtId="0" fontId="0" fillId="0" borderId="15" xfId="0" applyNumberFormat="1" applyFont="1" applyBorder="1" applyAlignment="1">
      <alignment horizontal="center"/>
    </xf>
    <xf numFmtId="0" fontId="3" fillId="3" borderId="3" xfId="0" applyFont="1" applyFill="1" applyBorder="1"/>
    <xf numFmtId="164" fontId="0" fillId="0" borderId="3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9" fontId="0" fillId="0" borderId="3" xfId="0" applyNumberFormat="1" applyBorder="1"/>
    <xf numFmtId="10" fontId="0" fillId="0" borderId="3" xfId="0" applyNumberFormat="1" applyBorder="1"/>
    <xf numFmtId="0" fontId="0" fillId="0" borderId="16" xfId="0" applyBorder="1"/>
    <xf numFmtId="164" fontId="0" fillId="0" borderId="17" xfId="0" applyNumberFormat="1" applyBorder="1"/>
    <xf numFmtId="0" fontId="3" fillId="3" borderId="4" xfId="0" applyFont="1" applyFill="1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7" fillId="6" borderId="9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left" wrapText="1"/>
    </xf>
    <xf numFmtId="0" fontId="6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/>
    </xf>
    <xf numFmtId="164" fontId="8" fillId="4" borderId="0" xfId="0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164" fontId="8" fillId="4" borderId="13" xfId="0" applyNumberFormat="1" applyFont="1" applyFill="1" applyBorder="1" applyAlignment="1">
      <alignment horizontal="center" vertical="center"/>
    </xf>
    <xf numFmtId="164" fontId="8" fillId="4" borderId="9" xfId="0" applyNumberFormat="1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3">
    <dxf>
      <font>
        <sz val="20"/>
      </font>
      <alignment horizontal="center" vertical="center" textRotation="0" wrapText="1" indent="0" justifyLastLine="0" shrinkToFit="0" readingOrder="0"/>
      <border diagonalUp="0" diagonalDown="0">
        <left style="thin">
          <color rgb="FF0F9ED5"/>
        </left>
        <right style="thin">
          <color rgb="FF0F9ED5"/>
        </right>
        <top style="thin">
          <color rgb="FF0F9ED5"/>
        </top>
        <bottom/>
        <vertical/>
        <horizontal/>
      </border>
    </dxf>
    <dxf>
      <font>
        <sz val="20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F9ED5"/>
        </right>
        <top style="thin">
          <color rgb="FF0F9ED5"/>
        </top>
        <bottom/>
        <vertical/>
        <horizontal/>
      </border>
    </dxf>
    <dxf>
      <font>
        <sz val="20"/>
      </font>
      <alignment horizontal="center" vertical="center" textRotation="0" wrapText="1" indent="0" justifyLastLine="0" shrinkToFit="0" readingOrder="0"/>
      <border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  <vertical style="thin">
          <color rgb="FF0F9ED5"/>
        </vertical>
        <horizontal style="thin">
          <color rgb="FF0F9ED5"/>
        </horizontal>
      </border>
    </dxf>
    <dxf>
      <font>
        <sz val="20"/>
      </font>
      <alignment horizontal="center" vertical="center" textRotation="0" wrapText="1" indent="0" justifyLastLine="0" shrinkToFit="0" readingOrder="0"/>
      <border>
        <left/>
        <right style="thin">
          <color rgb="FF0F9ED5"/>
        </right>
        <top style="thin">
          <color rgb="FF0F9ED5"/>
        </top>
        <bottom style="thin">
          <color rgb="FF0F9ED5"/>
        </bottom>
        <vertical style="thin">
          <color rgb="FF0F9ED5"/>
        </vertical>
        <horizontal style="thin">
          <color rgb="FF0F9ED5"/>
        </horizontal>
      </border>
    </dxf>
    <dxf>
      <border>
        <top style="thin">
          <color rgb="FF0F9ED5"/>
        </top>
      </border>
    </dxf>
    <dxf>
      <border>
        <bottom style="thin">
          <color rgb="FF0F9ED5"/>
        </bottom>
      </border>
    </dxf>
    <dxf>
      <border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</border>
    </dxf>
    <dxf>
      <font>
        <sz val="20"/>
      </font>
    </dxf>
    <dxf>
      <border>
        <left style="thin">
          <color rgb="FF0F9ED5"/>
        </left>
        <right style="thin">
          <color rgb="FF0F9ED5"/>
        </right>
        <top/>
        <bottom/>
        <vertical style="thin">
          <color rgb="FF0F9ED5"/>
        </vertical>
        <horizontal style="thin">
          <color rgb="FF0F9ED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top style="thin">
          <color theme="7"/>
        </top>
      </border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34" formatCode="_-&quot;R$&quot;\ * #,##0.00_-;\-&quot;R$&quot;\ * #,##0.00_-;_-&quot;R$&quot;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numFmt numFmtId="164" formatCode="_-[$R$-416]\ * #,##0.00_-;\-[$R$-416]\ * #,##0.00_-;_-[$R$-416]\ * &quot;-&quot;??_-;_-@_-"/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C6EFCE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F9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Domine o editor de planilhas.xlsx]Tabela Dinamica!Tabela dinâmica2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D93D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93D9"/>
            </a:solidFill>
            <a:ln>
              <a:noFill/>
            </a:ln>
            <a:effectLst/>
          </c:spPr>
          <c:invertIfNegative val="0"/>
          <c:cat>
            <c:strRef>
              <c:f>'Tabela Dinamica'!$B$4:$B$14</c:f>
              <c:strCache>
                <c:ptCount val="10"/>
                <c:pt idx="0">
                  <c:v>Bermuda</c:v>
                </c:pt>
                <c:pt idx="1">
                  <c:v>Bolsa</c:v>
                </c:pt>
                <c:pt idx="2">
                  <c:v>Boné</c:v>
                </c:pt>
                <c:pt idx="3">
                  <c:v>Calça </c:v>
                </c:pt>
                <c:pt idx="4">
                  <c:v>Camiseta Lisa</c:v>
                </c:pt>
                <c:pt idx="5">
                  <c:v>Cinto</c:v>
                </c:pt>
                <c:pt idx="6">
                  <c:v>Jaqueta </c:v>
                </c:pt>
                <c:pt idx="7">
                  <c:v>Óculos </c:v>
                </c:pt>
                <c:pt idx="8">
                  <c:v>Tênis</c:v>
                </c:pt>
                <c:pt idx="9">
                  <c:v>Vestido </c:v>
                </c:pt>
              </c:strCache>
            </c:strRef>
          </c:cat>
          <c:val>
            <c:numRef>
              <c:f>'Tabela Dinamica'!$C$4:$C$14</c:f>
              <c:numCache>
                <c:formatCode>General</c:formatCode>
                <c:ptCount val="10"/>
                <c:pt idx="0">
                  <c:v>40</c:v>
                </c:pt>
                <c:pt idx="1">
                  <c:v>1</c:v>
                </c:pt>
                <c:pt idx="2">
                  <c:v>11</c:v>
                </c:pt>
                <c:pt idx="3">
                  <c:v>19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A-4A5E-A78D-368E861E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1902983"/>
        <c:axId val="291905031"/>
      </c:barChart>
      <c:catAx>
        <c:axId val="291902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05031"/>
        <c:crosses val="autoZero"/>
        <c:auto val="1"/>
        <c:lblAlgn val="ctr"/>
        <c:lblOffset val="100"/>
        <c:noMultiLvlLbl val="0"/>
      </c:catAx>
      <c:valAx>
        <c:axId val="291905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02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Dados!$B$1</c:f>
              <c:strCache>
                <c:ptCount val="1"/>
                <c:pt idx="0">
                  <c:v>Qtd. Vendida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Dados!$A$2:$A$4</c:f>
              <c:strCache>
                <c:ptCount val="3"/>
                <c:pt idx="0">
                  <c:v>João</c:v>
                </c:pt>
                <c:pt idx="1">
                  <c:v>Clara</c:v>
                </c:pt>
                <c:pt idx="2">
                  <c:v>Sarah</c:v>
                </c:pt>
              </c:strCache>
            </c:strRef>
          </c:cat>
          <c:val>
            <c:numRef>
              <c:f>Dados!$B$2:$B$4</c:f>
              <c:numCache>
                <c:formatCode>General</c:formatCode>
                <c:ptCount val="3"/>
                <c:pt idx="0">
                  <c:v>9</c:v>
                </c:pt>
                <c:pt idx="1">
                  <c:v>15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22-4F21-9917-C2CA56DDF9AA}"/>
            </c:ext>
          </c:extLst>
        </c:ser>
        <c:ser>
          <c:idx val="1"/>
          <c:order val="1"/>
          <c:tx>
            <c:strRef>
              <c:f>Dados!$C$1</c:f>
              <c:strCache>
                <c:ptCount val="1"/>
                <c:pt idx="0">
                  <c:v>Total Vendido</c:v>
                </c:pt>
              </c:strCache>
            </c:strRef>
          </c:tx>
          <c:spPr>
            <a:solidFill>
              <a:srgbClr val="E87331"/>
            </a:solidFill>
            <a:ln>
              <a:solidFill>
                <a:srgbClr val="E8733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Dados!$A$2:$A$4</c:f>
              <c:strCache>
                <c:ptCount val="3"/>
                <c:pt idx="0">
                  <c:v>João</c:v>
                </c:pt>
                <c:pt idx="1">
                  <c:v>Clara</c:v>
                </c:pt>
                <c:pt idx="2">
                  <c:v>Sarah</c:v>
                </c:pt>
              </c:strCache>
            </c:strRef>
          </c:cat>
          <c:val>
            <c:numRef>
              <c:f>Dados!$C$2:$C$4</c:f>
              <c:numCache>
                <c:formatCode>_-[$R$-416]\ * #,##0.00_-;\-[$R$-416]\ * #,##0.00_-;_-[$R$-416]\ * "-"??_-;_-@_-</c:formatCode>
                <c:ptCount val="3"/>
                <c:pt idx="0">
                  <c:v>1819</c:v>
                </c:pt>
                <c:pt idx="1">
                  <c:v>3770</c:v>
                </c:pt>
                <c:pt idx="2">
                  <c:v>2940.2000000000003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22-4F21-9917-C2CA56DDF9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126984"/>
        <c:axId val="16129032"/>
      </c:barChart>
      <c:catAx>
        <c:axId val="16126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9032"/>
        <c:crosses val="autoZero"/>
        <c:auto val="1"/>
        <c:lblAlgn val="ctr"/>
        <c:lblOffset val="100"/>
        <c:noMultiLvlLbl val="0"/>
      </c:catAx>
      <c:valAx>
        <c:axId val="16129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26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Dados!$H$1</c:f>
              <c:strCache>
                <c:ptCount val="1"/>
                <c:pt idx="0">
                  <c:v>Faturamento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Dados!$G$2:$G$6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Dados!$H$2:$H$6</c:f>
              <c:numCache>
                <c:formatCode>_-[$R$-416]\ * #,##0.00_-;\-[$R$-416]\ * #,##0.00_-;_-[$R$-416]\ * "-"??_-;_-@_-</c:formatCode>
                <c:ptCount val="5"/>
                <c:pt idx="0">
                  <c:v>2177.6</c:v>
                </c:pt>
                <c:pt idx="1">
                  <c:v>1559.4</c:v>
                </c:pt>
                <c:pt idx="2">
                  <c:v>931.7</c:v>
                </c:pt>
                <c:pt idx="3">
                  <c:v>2650.2</c:v>
                </c:pt>
                <c:pt idx="4">
                  <c:v>1210.3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B6-4503-ABC5-FE2EF2052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9109384"/>
        <c:axId val="619111432"/>
      </c:barChart>
      <c:lineChart>
        <c:grouping val="standard"/>
        <c:varyColors val="0"/>
        <c:ser>
          <c:idx val="1"/>
          <c:order val="1"/>
          <c:tx>
            <c:strRef>
              <c:f>Dados!$I$1</c:f>
              <c:strCache>
                <c:ptCount val="1"/>
                <c:pt idx="0">
                  <c:v>Qtd.</c:v>
                </c:pt>
              </c:strCache>
            </c:strRef>
          </c:tx>
          <c:spPr>
            <a:ln w="28575" cap="rnd">
              <a:solidFill>
                <a:srgbClr val="E873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cat>
            <c:strRef>
              <c:f>Dados!$G$2:$G$6</c:f>
              <c:strCache>
                <c:ptCount val="5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</c:strCache>
            </c:strRef>
          </c:cat>
          <c:val>
            <c:numRef>
              <c:f>Dados!$I$2:$I$6</c:f>
              <c:numCache>
                <c:formatCode>General</c:formatCode>
                <c:ptCount val="5"/>
                <c:pt idx="0">
                  <c:v>14</c:v>
                </c:pt>
                <c:pt idx="1">
                  <c:v>6</c:v>
                </c:pt>
                <c:pt idx="2">
                  <c:v>13</c:v>
                </c:pt>
                <c:pt idx="3">
                  <c:v>28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B6-4503-ABC5-FE2EF2052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043912"/>
        <c:axId val="1230716935"/>
      </c:lineChart>
      <c:catAx>
        <c:axId val="619109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11432"/>
        <c:crosses val="autoZero"/>
        <c:auto val="1"/>
        <c:lblAlgn val="ctr"/>
        <c:lblOffset val="100"/>
        <c:noMultiLvlLbl val="0"/>
      </c:catAx>
      <c:valAx>
        <c:axId val="61911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109384"/>
        <c:crosses val="autoZero"/>
        <c:crossBetween val="between"/>
      </c:valAx>
      <c:valAx>
        <c:axId val="12307169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043912"/>
        <c:crosses val="max"/>
        <c:crossBetween val="between"/>
      </c:valAx>
      <c:catAx>
        <c:axId val="1626043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0716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Dados!$L$2</c:f>
              <c:strCache>
                <c:ptCount val="1"/>
                <c:pt idx="0">
                  <c:v>Acessórios</c:v>
                </c:pt>
              </c:strCache>
            </c:strRef>
          </c:tx>
          <c:spPr>
            <a:solidFill>
              <a:srgbClr val="E87331"/>
            </a:solidFill>
          </c:spPr>
          <c:dPt>
            <c:idx val="0"/>
            <c:bubble3D val="0"/>
            <c:spPr>
              <a:solidFill>
                <a:srgbClr val="E8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BE-46C9-B9F2-31EE9C02D535}"/>
              </c:ext>
            </c:extLst>
          </c:dPt>
          <c:dPt>
            <c:idx val="1"/>
            <c:bubble3D val="0"/>
            <c:spPr>
              <a:solidFill>
                <a:srgbClr val="E8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E-46C9-B9F2-31EE9C02D535}"/>
              </c:ext>
            </c:extLst>
          </c:dPt>
          <c:val>
            <c:numRef>
              <c:f>Dados!$M$2:$N$2</c:f>
              <c:numCache>
                <c:formatCode>0.00%</c:formatCode>
                <c:ptCount val="2"/>
                <c:pt idx="0" formatCode="0%">
                  <c:v>6.5609904797636343E-2</c:v>
                </c:pt>
                <c:pt idx="1">
                  <c:v>0.9343900952023636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BE-46C9-B9F2-31EE9C02D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0"/>
        <c:ser>
          <c:idx val="0"/>
          <c:order val="0"/>
          <c:tx>
            <c:strRef>
              <c:f>Dados!$L$3</c:f>
              <c:strCache>
                <c:ptCount val="1"/>
                <c:pt idx="0">
                  <c:v>Calçados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86-434F-A046-FDA4CE8742E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86-434F-A046-FDA4CE8742E0}"/>
              </c:ext>
            </c:extLst>
          </c:dPt>
          <c:val>
            <c:numRef>
              <c:f>Dados!$M$3:$N$3</c:f>
              <c:numCache>
                <c:formatCode>0.00%</c:formatCode>
                <c:ptCount val="2"/>
                <c:pt idx="0" formatCode="0%">
                  <c:v>0.18991230127092812</c:v>
                </c:pt>
                <c:pt idx="1">
                  <c:v>0.81008769872907194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86-434F-A046-FDA4CE874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Dados!$L$4</c:f>
              <c:strCache>
                <c:ptCount val="1"/>
                <c:pt idx="0">
                  <c:v>Vestuário</c:v>
                </c:pt>
              </c:strCache>
            </c:strRef>
          </c:tx>
          <c:spPr>
            <a:solidFill>
              <a:srgbClr val="4EA72E"/>
            </a:solidFill>
          </c:spPr>
          <c:dPt>
            <c:idx val="0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92-44E5-B291-1038D6DDBC71}"/>
              </c:ext>
            </c:extLst>
          </c:dPt>
          <c:dPt>
            <c:idx val="1"/>
            <c:bubble3D val="0"/>
            <c:spPr>
              <a:solidFill>
                <a:srgbClr val="4EA7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92-44E5-B291-1038D6DDBC71}"/>
              </c:ext>
            </c:extLst>
          </c:dPt>
          <c:val>
            <c:numRef>
              <c:f>Dados!$M$4:$N$4</c:f>
              <c:numCache>
                <c:formatCode>0.00%</c:formatCode>
                <c:ptCount val="2"/>
                <c:pt idx="0" formatCode="0%">
                  <c:v>0.74447779393143565</c:v>
                </c:pt>
                <c:pt idx="1">
                  <c:v>0.25552220606856435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92-44E5-B291-1038D6DDB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2</xdr:row>
      <xdr:rowOff>104775</xdr:rowOff>
    </xdr:from>
    <xdr:to>
      <xdr:col>11</xdr:col>
      <xdr:colOff>409575</xdr:colOff>
      <xdr:row>17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427396-9E29-AD1D-D121-F7702F91B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66675</xdr:colOff>
      <xdr:row>4</xdr:row>
      <xdr:rowOff>76200</xdr:rowOff>
    </xdr:from>
    <xdr:to>
      <xdr:col>15</xdr:col>
      <xdr:colOff>561975</xdr:colOff>
      <xdr:row>9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39514A8-E547-C241-8A4E-08FD51AB7AC4}"/>
            </a:ext>
            <a:ext uri="{147F2762-F138-4A5C-976F-8EAC2B608ADB}">
              <a16:predDERef xmlns:a16="http://schemas.microsoft.com/office/drawing/2014/main" pred="{3C427396-9E29-AD1D-D121-F7702F91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5" y="1019175"/>
          <a:ext cx="2438400" cy="94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9525</xdr:rowOff>
    </xdr:from>
    <xdr:to>
      <xdr:col>16</xdr:col>
      <xdr:colOff>9525</xdr:colOff>
      <xdr:row>6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04FC42-75CA-E952-4958-C6DE32634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76275"/>
          <a:ext cx="3048000" cy="1590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20</xdr:row>
      <xdr:rowOff>180975</xdr:rowOff>
    </xdr:from>
    <xdr:to>
      <xdr:col>34</xdr:col>
      <xdr:colOff>171450</xdr:colOff>
      <xdr:row>29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09EAD9-B2C2-C9EE-5FDC-488A6FD11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9</xdr:row>
      <xdr:rowOff>9525</xdr:rowOff>
    </xdr:from>
    <xdr:to>
      <xdr:col>34</xdr:col>
      <xdr:colOff>180975</xdr:colOff>
      <xdr:row>17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4F0B8B-FB0B-28EA-13C7-66619284EADE}"/>
            </a:ext>
            <a:ext uri="{147F2762-F138-4A5C-976F-8EAC2B608ADB}">
              <a16:predDERef xmlns:a16="http://schemas.microsoft.com/office/drawing/2014/main" pred="{8B09EAD9-B2C2-C9EE-5FDC-488A6FD11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21</xdr:row>
      <xdr:rowOff>9525</xdr:rowOff>
    </xdr:from>
    <xdr:to>
      <xdr:col>6</xdr:col>
      <xdr:colOff>57150</xdr:colOff>
      <xdr:row>29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B457F8-1227-939B-7627-41AE15940CAA}"/>
            </a:ext>
            <a:ext uri="{147F2762-F138-4A5C-976F-8EAC2B608ADB}">
              <a16:predDERef xmlns:a16="http://schemas.microsoft.com/office/drawing/2014/main" pred="{A44F0B8B-FB0B-28EA-13C7-66619284E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9525</xdr:rowOff>
    </xdr:from>
    <xdr:to>
      <xdr:col>11</xdr:col>
      <xdr:colOff>85725</xdr:colOff>
      <xdr:row>29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6CEDD7-1B63-B3A7-5CC5-4BE2BA74BB45}"/>
            </a:ext>
            <a:ext uri="{147F2762-F138-4A5C-976F-8EAC2B608ADB}">
              <a16:predDERef xmlns:a16="http://schemas.microsoft.com/office/drawing/2014/main" pred="{24B457F8-1227-939B-7627-41AE15940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95250</xdr:colOff>
      <xdr:row>21</xdr:row>
      <xdr:rowOff>9525</xdr:rowOff>
    </xdr:from>
    <xdr:to>
      <xdr:col>16</xdr:col>
      <xdr:colOff>180975</xdr:colOff>
      <xdr:row>29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088A03-6CB8-CF52-84E0-3AE735106C01}"/>
            </a:ext>
            <a:ext uri="{147F2762-F138-4A5C-976F-8EAC2B608ADB}">
              <a16:predDERef xmlns:a16="http://schemas.microsoft.com/office/drawing/2014/main" pred="{B26CEDD7-1B63-B3A7-5CC5-4BE2BA74B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133350</xdr:colOff>
      <xdr:row>25</xdr:row>
      <xdr:rowOff>9525</xdr:rowOff>
    </xdr:from>
    <xdr:to>
      <xdr:col>5</xdr:col>
      <xdr:colOff>47625</xdr:colOff>
      <xdr:row>26</xdr:row>
      <xdr:rowOff>123825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EF49EEA-81CD-3ABB-D976-4358BB651213}"/>
            </a:ext>
            <a:ext uri="{147F2762-F138-4A5C-976F-8EAC2B608ADB}">
              <a16:predDERef xmlns:a16="http://schemas.microsoft.com/office/drawing/2014/main" pred="{E9088A03-6CB8-CF52-84E0-3AE735106C01}"/>
            </a:ext>
          </a:extLst>
        </xdr:cNvPr>
        <xdr:cNvSpPr txBox="1"/>
      </xdr:nvSpPr>
      <xdr:spPr>
        <a:xfrm>
          <a:off x="514350" y="4772025"/>
          <a:ext cx="485775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7%</a:t>
          </a:r>
        </a:p>
      </xdr:txBody>
    </xdr:sp>
    <xdr:clientData/>
  </xdr:twoCellAnchor>
  <xdr:twoCellAnchor>
    <xdr:from>
      <xdr:col>7</xdr:col>
      <xdr:colOff>133350</xdr:colOff>
      <xdr:row>25</xdr:row>
      <xdr:rowOff>9525</xdr:rowOff>
    </xdr:from>
    <xdr:to>
      <xdr:col>10</xdr:col>
      <xdr:colOff>47625</xdr:colOff>
      <xdr:row>26</xdr:row>
      <xdr:rowOff>123825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8BB041-E45E-4DD4-B3F5-048A67C18954}"/>
            </a:ext>
            <a:ext uri="{147F2762-F138-4A5C-976F-8EAC2B608ADB}">
              <a16:predDERef xmlns:a16="http://schemas.microsoft.com/office/drawing/2014/main" pred="{AEF49EEA-81CD-3ABB-D976-4358BB651213}"/>
            </a:ext>
          </a:extLst>
        </xdr:cNvPr>
        <xdr:cNvSpPr txBox="1"/>
      </xdr:nvSpPr>
      <xdr:spPr>
        <a:xfrm>
          <a:off x="1466850" y="4772025"/>
          <a:ext cx="485775" cy="3048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19%</a:t>
          </a:r>
        </a:p>
      </xdr:txBody>
    </xdr:sp>
    <xdr:clientData/>
  </xdr:twoCellAnchor>
  <xdr:twoCellAnchor>
    <xdr:from>
      <xdr:col>13</xdr:col>
      <xdr:colOff>19050</xdr:colOff>
      <xdr:row>25</xdr:row>
      <xdr:rowOff>9525</xdr:rowOff>
    </xdr:from>
    <xdr:to>
      <xdr:col>15</xdr:col>
      <xdr:colOff>123825</xdr:colOff>
      <xdr:row>26</xdr:row>
      <xdr:rowOff>123825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7A1CFF9-A9E1-4088-9F74-FF6D6D704F28}"/>
            </a:ext>
            <a:ext uri="{147F2762-F138-4A5C-976F-8EAC2B608ADB}">
              <a16:predDERef xmlns:a16="http://schemas.microsoft.com/office/drawing/2014/main" pred="{268BB041-E45E-4DD4-B3F5-048A67C18954}"/>
            </a:ext>
          </a:extLst>
        </xdr:cNvPr>
        <xdr:cNvSpPr txBox="1"/>
      </xdr:nvSpPr>
      <xdr:spPr>
        <a:xfrm>
          <a:off x="2495550" y="4772025"/>
          <a:ext cx="485775" cy="30480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74%</a:t>
          </a:r>
        </a:p>
        <a:p>
          <a:pPr marL="0" indent="0" algn="l"/>
          <a:endParaRPr lang="en-US" sz="1200" b="1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06.559594791666" createdVersion="8" refreshedVersion="8" minRefreshableVersion="3" recordCount="20" xr:uid="{1325C1B8-7E15-4776-B5E2-1C9FAF2EB963}">
  <cacheSource type="worksheet">
    <worksheetSource name="Tabela1"/>
  </cacheSource>
  <cacheFields count="7">
    <cacheField name="Produtos" numFmtId="0">
      <sharedItems count="10">
        <s v="Camiseta Lisa"/>
        <s v="Óculos "/>
        <s v="Jaqueta "/>
        <s v="Calça "/>
        <s v="Vestido "/>
        <s v="Bermuda"/>
        <s v="Tênis"/>
        <s v="Bolsa"/>
        <s v="Boné"/>
        <s v="Cinto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Quantidade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99.6999999999998"/>
    </cacheField>
    <cacheField name="Valor de Desconto" numFmtId="164">
      <sharedItems containsSemiMixedTypes="0" containsString="0" containsNumber="1" minValue="0" maxValue="59.984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"/>
    <s v="Vestuário"/>
    <n v="25.9"/>
    <n v="12"/>
    <n v="310.79999999999995"/>
    <n v="15.54"/>
  </r>
  <r>
    <x v="0"/>
    <s v="M"/>
    <s v="Vestuário"/>
    <n v="29.9"/>
    <n v="10"/>
    <n v="299"/>
    <n v="14.950000000000001"/>
  </r>
  <r>
    <x v="0"/>
    <s v="G"/>
    <s v="Vestuário"/>
    <n v="32.9"/>
    <n v="6"/>
    <n v="197.39999999999998"/>
    <n v="9.8699999999999992"/>
  </r>
  <r>
    <x v="1"/>
    <s v="Único"/>
    <s v="Acessórios"/>
    <n v="399.9"/>
    <n v="3"/>
    <n v="1199.6999999999998"/>
    <n v="59.984999999999992"/>
  </r>
  <r>
    <x v="2"/>
    <s v="P"/>
    <s v="Vestuário"/>
    <n v="249.9"/>
    <n v="1"/>
    <n v="249.9"/>
    <n v="12.495000000000001"/>
  </r>
  <r>
    <x v="2"/>
    <s v="M"/>
    <s v="Vestuário"/>
    <n v="259.89999999999998"/>
    <n v="2"/>
    <n v="519.79999999999995"/>
    <n v="25.99"/>
  </r>
  <r>
    <x v="2"/>
    <s v="G"/>
    <s v="Vestuário"/>
    <n v="299.89999999999998"/>
    <n v="1"/>
    <n v="299.89999999999998"/>
    <n v="14.994999999999999"/>
  </r>
  <r>
    <x v="3"/>
    <s v="P"/>
    <s v="Vestuário"/>
    <n v="85.9"/>
    <n v="8"/>
    <n v="687.2"/>
    <n v="34.360000000000007"/>
  </r>
  <r>
    <x v="3"/>
    <s v="M"/>
    <s v="Vestuário"/>
    <n v="89.9"/>
    <n v="5"/>
    <n v="449.5"/>
    <n v="22.475000000000001"/>
  </r>
  <r>
    <x v="3"/>
    <s v="G"/>
    <s v="Vestuário"/>
    <n v="92.9"/>
    <n v="6"/>
    <n v="557.40000000000009"/>
    <n v="27.870000000000005"/>
  </r>
  <r>
    <x v="4"/>
    <s v="Único"/>
    <s v="Vestuário"/>
    <n v="149.9"/>
    <n v="2"/>
    <n v="299.8"/>
    <n v="14.990000000000002"/>
  </r>
  <r>
    <x v="5"/>
    <s v="P"/>
    <s v="Vestuário"/>
    <n v="65.900000000000006"/>
    <n v="12"/>
    <n v="790.80000000000007"/>
    <n v="39.540000000000006"/>
  </r>
  <r>
    <x v="5"/>
    <s v="M"/>
    <s v="Vestuário"/>
    <n v="69.900000000000006"/>
    <n v="15"/>
    <n v="1048.5"/>
    <n v="52.425000000000004"/>
  </r>
  <r>
    <x v="5"/>
    <s v="G"/>
    <s v="Vestuário"/>
    <n v="70.900000000000006"/>
    <n v="13"/>
    <n v="921.7"/>
    <n v="46.085000000000008"/>
  </r>
  <r>
    <x v="6"/>
    <n v="36"/>
    <s v="Calçado"/>
    <n v="199.9"/>
    <n v="2"/>
    <n v="399.8"/>
    <n v="19.990000000000002"/>
  </r>
  <r>
    <x v="6"/>
    <n v="37"/>
    <s v="Calçado"/>
    <n v="249.9"/>
    <n v="1"/>
    <n v="249.9"/>
    <n v="12.495000000000001"/>
  </r>
  <r>
    <x v="6"/>
    <n v="38"/>
    <s v="Calçado"/>
    <n v="259.89999999999998"/>
    <n v="0"/>
    <n v="0"/>
    <n v="0"/>
  </r>
  <r>
    <x v="7"/>
    <s v="Único"/>
    <s v="Acessórios"/>
    <n v="259.89999999999998"/>
    <n v="1"/>
    <n v="259.89999999999998"/>
    <n v="12.994999999999999"/>
  </r>
  <r>
    <x v="8"/>
    <s v="Único"/>
    <s v="Acessórios"/>
    <n v="39.9"/>
    <n v="11"/>
    <n v="438.9"/>
    <n v="21.945"/>
  </r>
  <r>
    <x v="9"/>
    <s v="Único"/>
    <s v="Acessórios"/>
    <n v="49.9"/>
    <n v="21"/>
    <n v="1047.8999999999999"/>
    <n v="52.394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B41EC-9BF8-4BD5-AA49-495B0B68C092}" name="Tabela dinâmica2" cacheId="141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B3:C14" firstHeaderRow="1" firstDataRow="1" firstDataCol="1"/>
  <pivotFields count="7">
    <pivotField axis="axisRow" compact="0" outline="0" showAll="0">
      <items count="11">
        <item x="5"/>
        <item x="7"/>
        <item x="8"/>
        <item x="3"/>
        <item x="0"/>
        <item x="9"/>
        <item x="2"/>
        <item x="1"/>
        <item x="6"/>
        <item x="4"/>
        <item t="default"/>
      </items>
    </pivotField>
    <pivotField compact="0" outline="0" showAll="0"/>
    <pivotField compact="0" outline="0" showAll="0"/>
    <pivotField compact="0" numFmtId="164" outline="0" showAll="0"/>
    <pivotField dataField="1" compact="0" outline="0" showAll="0"/>
    <pivotField compact="0" numFmtId="164" outline="0" showAll="0"/>
    <pivotField compact="0" numFmtId="164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Quantidade" fld="4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6BB415-8B7F-4308-8ED9-64262FFF6539}" name="Tabela1" displayName="Tabela1" ref="A3:J24" totalsRowCount="1" headerRowDxfId="40">
  <autoFilter ref="A3:J23" xr:uid="{956BB415-8B7F-4308-8ED9-64262FFF6539}"/>
  <sortState xmlns:xlrd2="http://schemas.microsoft.com/office/spreadsheetml/2017/richdata2" ref="A4:J23">
    <sortCondition sortBy="cellColor" ref="G3" dxfId="39"/>
  </sortState>
  <tableColumns count="10">
    <tableColumn id="10" xr3:uid="{3762DD3B-1047-4AC9-877F-C0FF98420A49}" name="Código" dataDxfId="37" totalsRowDxfId="38"/>
    <tableColumn id="11" xr3:uid="{9972A0BC-32D2-47E1-8532-821F4683C78A}" name="Produtos" dataDxfId="35" totalsRowDxfId="36"/>
    <tableColumn id="12" xr3:uid="{9DC4C319-8A7E-414E-AC7D-A3D084DAC9A9}" name="Tamanho" dataDxfId="33" totalsRowDxfId="34"/>
    <tableColumn id="13" xr3:uid="{94C5C77E-D695-4530-B1D4-4C21880D5CAB}" name="Categoria" totalsRowLabel="Total" dataDxfId="31" totalsRowDxfId="32"/>
    <tableColumn id="14" xr3:uid="{1AA0FD42-45DC-4249-9B11-65C6F41FC561}" name="Preço Unitário" totalsRowFunction="custom" dataDxfId="29" totalsRowDxfId="30">
      <totalsRowFormula>SUM(E4:E23)</totalsRowFormula>
    </tableColumn>
    <tableColumn id="15" xr3:uid="{16A50592-94CC-471A-BA13-16AE8514446C}" name="Preço c/ Desconto" totalsRowFunction="custom" dataDxfId="27" totalsRowDxfId="28">
      <calculatedColumnFormula>Tabela1[[#This Row],[Preço Unitário]]-$L$5</calculatedColumnFormula>
      <totalsRowFormula>SUBTOTAL(109,F4:F23)</totalsRowFormula>
    </tableColumn>
    <tableColumn id="16" xr3:uid="{7CB59C3A-D528-4C41-8DBF-38789633C15A}" name="Quantidade" totalsRowFunction="custom" dataDxfId="25" totalsRowDxfId="26">
      <totalsRowFormula>SUBTOTAL(109,G4:G23)</totalsRowFormula>
    </tableColumn>
    <tableColumn id="17" xr3:uid="{A9A03041-38C9-4F0A-8C1A-4333B5DF0710}" name="Situação" totalsRowFunction="custom" dataDxfId="23" totalsRowDxfId="24">
      <totalsRowFormula>SUBTOTAL(109,H4:H23)</totalsRowFormula>
    </tableColumn>
    <tableColumn id="18" xr3:uid="{5B59328E-AC1B-44F1-95E4-DD9CD740C294}" name="Valor Total" totalsRowFunction="custom" dataDxfId="21" totalsRowDxfId="22">
      <calculatedColumnFormula>Tabela1[[#This Row],[Preço Unitário]]*Tabela1[[#This Row],[Quantidade]]</calculatedColumnFormula>
      <totalsRowFormula>SUBTOTAL(109,I4:I23)</totalsRowFormula>
    </tableColumn>
    <tableColumn id="19" xr3:uid="{1B54741A-4AC9-4C60-B9F6-A5E7ACE95D60}" name="Valor de Desconto" totalsRowFunction="custom" dataDxfId="19" totalsRowDxfId="20">
      <calculatedColumnFormula>Tabela1[[#This Row],[Valor Total]]*$L$5</calculatedColumnFormula>
      <totalsRowFormula>SUBTOTAL(109,J4:J23)</totalsRow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B5E5F-AFBC-4FE6-BFDD-5F8FAF42E613}" name="Tabela3" displayName="Tabela3" ref="A3:I35" totalsRowShown="0" tableBorderDxfId="18">
  <autoFilter ref="A3:I35" xr:uid="{A89B5E5F-AFBC-4FE6-BFDD-5F8FAF42E613}"/>
  <tableColumns count="9">
    <tableColumn id="1" xr3:uid="{A50B96ED-B488-4D53-A12F-8376C8DF56BA}" name="Mês" dataDxfId="17">
      <calculatedColumnFormula>MONTH(Tabela3[[#This Row],[Data]])</calculatedColumnFormula>
    </tableColumn>
    <tableColumn id="2" xr3:uid="{1C32E3E1-61EF-4C69-936D-95B50A60ADDC}" name="Data" dataDxfId="16"/>
    <tableColumn id="3" xr3:uid="{4DDE8FB0-9427-4A11-9607-17F40ECC98BF}" name="Código" dataDxfId="15"/>
    <tableColumn id="4" xr3:uid="{70243BE1-972B-47E5-B446-8596E8F4690D}" name="Tamanho" dataDxfId="14"/>
    <tableColumn id="5" xr3:uid="{34CD39CC-9AED-4280-86A3-41702842E2DD}" name="Categoria" dataDxfId="13"/>
    <tableColumn id="6" xr3:uid="{FA0CDDD5-59A4-41CF-AE27-342F3E236C8A}" name="Quantidade" dataDxfId="12"/>
    <tableColumn id="10" xr3:uid="{2A88F368-D5F8-4E42-8634-B7499C868503}" name="Unitário" dataDxfId="11">
      <calculatedColumnFormula>_xlfn.XLOOKUP(Tabela3[[#This Row],[Código]],Tabela1[Código],Tabela1[Preço Unitário],"",0)</calculatedColumnFormula>
    </tableColumn>
    <tableColumn id="7" xr3:uid="{66830FE1-1124-46F0-9A07-E1CDE6772013}" name="Total" dataDxfId="10">
      <calculatedColumnFormula>Tabela3[[#This Row],[Quantidade]]*Tabela3[[#This Row],[Unitário]]</calculatedColumnFormula>
    </tableColumn>
    <tableColumn id="8" xr3:uid="{F997B327-E4E0-476C-BC92-08C634EDB771}" name="Vendedor" dataDxfId="9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A4D76-CD5C-43E4-9C0B-1C5337A5E16A}" name="Tabela2" displayName="Tabela2" ref="B4:E5" totalsRowShown="0" headerRowDxfId="8" dataDxfId="7" headerRowBorderDxfId="5" tableBorderDxfId="6" totalsRowBorderDxfId="4">
  <autoFilter ref="B4:E5" xr:uid="{7D6A4D76-CD5C-43E4-9C0B-1C5337A5E16A}">
    <filterColumn colId="0" hiddenButton="1"/>
    <filterColumn colId="1" hiddenButton="1"/>
    <filterColumn colId="2" hiddenButton="1"/>
    <filterColumn colId="3" hiddenButton="1"/>
  </autoFilter>
  <tableColumns count="4">
    <tableColumn id="1" xr3:uid="{452D721B-3EDA-450B-98F2-00EEDD781835}" name="Contagem de Produtos (Nome)" dataDxfId="3">
      <calculatedColumnFormula>COUNTA(Tabela1[Produtos])</calculatedColumnFormula>
    </tableColumn>
    <tableColumn id="2" xr3:uid="{ACA9E681-DCF7-4A70-AFF9-D26B32F99BF7}" name="Contagem de Produtos (Quantidade)" dataDxfId="2">
      <calculatedColumnFormula>COUNTIF(Tabela1[Quantidade],"&gt;0")</calculatedColumnFormula>
    </tableColumn>
    <tableColumn id="3" xr3:uid="{6821CB7D-B0E1-462C-8D4D-F977B1FD36F7}" name="Soma Qtd. Estoque" dataDxfId="1">
      <calculatedColumnFormula>Tabela1[[#Totals],[Quantidade]]</calculatedColumnFormula>
    </tableColumn>
    <tableColumn id="4" xr3:uid="{E4F8E863-D86B-44BF-A54E-118C6F08F286}" name="Média de Qtd. Estoque " dataDxfId="0">
      <calculatedColumnFormula>AVERAGE(Tabela1[Quantidade])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pane ySplit="3" topLeftCell="A12" activePane="bottomLeft" state="frozen"/>
      <selection pane="bottomLeft" activeCell="G28" sqref="G28"/>
    </sheetView>
  </sheetViews>
  <sheetFormatPr defaultRowHeight="15"/>
  <cols>
    <col min="1" max="1" width="13" bestFit="1" customWidth="1"/>
    <col min="2" max="2" width="9.140625" style="1"/>
    <col min="3" max="3" width="10.140625" bestFit="1" customWidth="1"/>
    <col min="4" max="4" width="13" bestFit="1" customWidth="1"/>
    <col min="5" max="5" width="10.85546875" bestFit="1" customWidth="1"/>
  </cols>
  <sheetData>
    <row r="1" spans="1:5">
      <c r="A1" s="57" t="s">
        <v>0</v>
      </c>
      <c r="B1" s="57"/>
      <c r="C1" s="57"/>
      <c r="D1" s="57"/>
    </row>
    <row r="2" spans="1:5" ht="7.5" customHeight="1"/>
    <row r="3" spans="1: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 s="1" t="s">
        <v>7</v>
      </c>
      <c r="C4" t="s">
        <v>8</v>
      </c>
      <c r="D4">
        <v>25.9</v>
      </c>
      <c r="E4">
        <v>12</v>
      </c>
    </row>
    <row r="5" spans="1:5">
      <c r="A5" t="s">
        <v>6</v>
      </c>
      <c r="B5" s="1" t="s">
        <v>9</v>
      </c>
      <c r="C5" t="s">
        <v>8</v>
      </c>
      <c r="D5">
        <v>29.9</v>
      </c>
      <c r="E5">
        <v>10</v>
      </c>
    </row>
    <row r="6" spans="1:5">
      <c r="A6" t="s">
        <v>6</v>
      </c>
      <c r="B6" s="1" t="s">
        <v>10</v>
      </c>
      <c r="C6" t="s">
        <v>8</v>
      </c>
      <c r="D6">
        <v>32.9</v>
      </c>
      <c r="E6">
        <v>6</v>
      </c>
    </row>
    <row r="7" spans="1:5">
      <c r="A7" t="s">
        <v>11</v>
      </c>
      <c r="B7" s="1" t="s">
        <v>12</v>
      </c>
      <c r="C7" t="s">
        <v>13</v>
      </c>
      <c r="D7">
        <v>399.9</v>
      </c>
      <c r="E7">
        <v>3</v>
      </c>
    </row>
    <row r="8" spans="1:5">
      <c r="A8" t="s">
        <v>14</v>
      </c>
      <c r="B8" s="1" t="s">
        <v>7</v>
      </c>
      <c r="C8" t="s">
        <v>8</v>
      </c>
      <c r="D8">
        <v>249.9</v>
      </c>
      <c r="E8">
        <v>1</v>
      </c>
    </row>
    <row r="9" spans="1:5">
      <c r="A9" t="s">
        <v>14</v>
      </c>
      <c r="B9" s="1" t="s">
        <v>9</v>
      </c>
      <c r="C9" t="s">
        <v>8</v>
      </c>
      <c r="D9">
        <v>259.89999999999998</v>
      </c>
      <c r="E9">
        <v>2</v>
      </c>
    </row>
    <row r="10" spans="1:5">
      <c r="A10" t="s">
        <v>14</v>
      </c>
      <c r="B10" s="1" t="s">
        <v>10</v>
      </c>
      <c r="C10" t="s">
        <v>8</v>
      </c>
      <c r="D10">
        <v>299.89999999999998</v>
      </c>
      <c r="E10">
        <v>1</v>
      </c>
    </row>
    <row r="11" spans="1:5">
      <c r="A11" t="s">
        <v>15</v>
      </c>
      <c r="B11" s="1" t="s">
        <v>7</v>
      </c>
      <c r="C11" t="s">
        <v>8</v>
      </c>
      <c r="D11">
        <v>85.9</v>
      </c>
      <c r="E11">
        <v>8</v>
      </c>
    </row>
    <row r="12" spans="1:5">
      <c r="A12" t="s">
        <v>15</v>
      </c>
      <c r="B12" s="1" t="s">
        <v>9</v>
      </c>
      <c r="C12" t="s">
        <v>8</v>
      </c>
      <c r="D12">
        <v>89.9</v>
      </c>
      <c r="E12">
        <v>5</v>
      </c>
    </row>
    <row r="13" spans="1:5">
      <c r="A13" t="s">
        <v>15</v>
      </c>
      <c r="B13" s="1" t="s">
        <v>10</v>
      </c>
      <c r="C13" t="s">
        <v>8</v>
      </c>
      <c r="D13">
        <v>92.9</v>
      </c>
      <c r="E13">
        <v>6</v>
      </c>
    </row>
    <row r="14" spans="1:5">
      <c r="A14" t="s">
        <v>16</v>
      </c>
      <c r="B14" s="1" t="s">
        <v>12</v>
      </c>
      <c r="C14" t="s">
        <v>8</v>
      </c>
      <c r="D14">
        <v>149.9</v>
      </c>
      <c r="E14">
        <v>2</v>
      </c>
    </row>
    <row r="15" spans="1:5">
      <c r="A15" t="s">
        <v>17</v>
      </c>
      <c r="B15" s="1" t="s">
        <v>7</v>
      </c>
      <c r="C15" t="s">
        <v>8</v>
      </c>
      <c r="D15">
        <v>65.900000000000006</v>
      </c>
      <c r="E15">
        <v>12</v>
      </c>
    </row>
    <row r="16" spans="1:5">
      <c r="A16" t="s">
        <v>17</v>
      </c>
      <c r="B16" s="1" t="s">
        <v>9</v>
      </c>
      <c r="C16" t="s">
        <v>8</v>
      </c>
      <c r="D16">
        <v>69.900000000000006</v>
      </c>
      <c r="E16">
        <v>15</v>
      </c>
    </row>
    <row r="17" spans="1:5">
      <c r="A17" t="s">
        <v>17</v>
      </c>
      <c r="B17" s="1" t="s">
        <v>10</v>
      </c>
      <c r="C17" t="s">
        <v>8</v>
      </c>
      <c r="D17">
        <v>70.900000000000006</v>
      </c>
      <c r="E17">
        <v>13</v>
      </c>
    </row>
    <row r="18" spans="1:5">
      <c r="A18" t="s">
        <v>18</v>
      </c>
      <c r="B18" s="1">
        <v>36</v>
      </c>
      <c r="C18" t="s">
        <v>19</v>
      </c>
      <c r="D18">
        <v>199.9</v>
      </c>
      <c r="E18">
        <v>2</v>
      </c>
    </row>
    <row r="19" spans="1:5">
      <c r="A19" t="s">
        <v>18</v>
      </c>
      <c r="B19" s="1">
        <v>37</v>
      </c>
      <c r="C19" t="s">
        <v>19</v>
      </c>
      <c r="D19">
        <v>249.9</v>
      </c>
      <c r="E19">
        <v>1</v>
      </c>
    </row>
    <row r="20" spans="1:5">
      <c r="A20" t="s">
        <v>18</v>
      </c>
      <c r="B20" s="1">
        <v>38</v>
      </c>
      <c r="C20" t="s">
        <v>19</v>
      </c>
      <c r="D20">
        <v>259.89999999999998</v>
      </c>
      <c r="E20">
        <v>0</v>
      </c>
    </row>
    <row r="21" spans="1:5">
      <c r="A21" t="s">
        <v>20</v>
      </c>
      <c r="B21" s="1" t="s">
        <v>12</v>
      </c>
      <c r="C21" t="s">
        <v>13</v>
      </c>
      <c r="D21">
        <v>259.89999999999998</v>
      </c>
      <c r="E21">
        <v>1</v>
      </c>
    </row>
    <row r="22" spans="1:5">
      <c r="A22" t="s">
        <v>21</v>
      </c>
      <c r="B22" s="1" t="s">
        <v>12</v>
      </c>
      <c r="C22" t="s">
        <v>13</v>
      </c>
      <c r="D22">
        <v>39.9</v>
      </c>
      <c r="E22">
        <v>11</v>
      </c>
    </row>
    <row r="23" spans="1:5">
      <c r="A23" t="s">
        <v>22</v>
      </c>
      <c r="B23" s="1" t="s">
        <v>12</v>
      </c>
      <c r="C23" t="s">
        <v>13</v>
      </c>
      <c r="D23">
        <v>49.9</v>
      </c>
      <c r="E23">
        <v>21</v>
      </c>
    </row>
  </sheetData>
  <autoFilter ref="A3:E23" xr:uid="{00000000-0001-0000-0000-000000000000}"/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3FB4-657B-43E7-9008-551D99F7E8F4}">
  <dimension ref="A1:O24"/>
  <sheetViews>
    <sheetView workbookViewId="0">
      <selection activeCell="G29" sqref="G29"/>
    </sheetView>
  </sheetViews>
  <sheetFormatPr defaultRowHeight="15"/>
  <cols>
    <col min="2" max="2" width="13" bestFit="1" customWidth="1"/>
    <col min="3" max="3" width="11.28515625" style="1" bestFit="1" customWidth="1"/>
    <col min="4" max="4" width="11.7109375" bestFit="1" customWidth="1"/>
    <col min="5" max="5" width="15.7109375" bestFit="1" customWidth="1"/>
    <col min="6" max="6" width="18" bestFit="1" customWidth="1"/>
    <col min="7" max="7" width="13.5703125" bestFit="1" customWidth="1"/>
    <col min="8" max="8" width="13" bestFit="1" customWidth="1"/>
    <col min="9" max="9" width="19.28515625" bestFit="1" customWidth="1"/>
    <col min="10" max="10" width="19.42578125" customWidth="1"/>
    <col min="11" max="11" width="9.42578125" bestFit="1" customWidth="1"/>
    <col min="14" max="15" width="27" bestFit="1" customWidth="1"/>
    <col min="16" max="16" width="12" bestFit="1" customWidth="1"/>
  </cols>
  <sheetData>
    <row r="1" spans="1:15" ht="26.25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15" ht="7.5" customHeight="1">
      <c r="B2" s="33"/>
      <c r="C2" s="33"/>
      <c r="D2" s="33"/>
      <c r="E2" s="33"/>
      <c r="F2" s="33"/>
      <c r="G2" s="33"/>
      <c r="H2" s="33"/>
      <c r="I2" s="33"/>
      <c r="J2" s="33"/>
    </row>
    <row r="3" spans="1:15">
      <c r="A3" s="36" t="s">
        <v>23</v>
      </c>
      <c r="B3" s="3" t="s">
        <v>1</v>
      </c>
      <c r="C3" s="2" t="s">
        <v>2</v>
      </c>
      <c r="D3" s="2" t="s">
        <v>3</v>
      </c>
      <c r="E3" s="14" t="s">
        <v>4</v>
      </c>
      <c r="F3" s="3" t="s">
        <v>24</v>
      </c>
      <c r="G3" s="3" t="s">
        <v>5</v>
      </c>
      <c r="H3" s="2" t="s">
        <v>25</v>
      </c>
      <c r="I3" s="2" t="s">
        <v>26</v>
      </c>
      <c r="J3" s="2" t="s">
        <v>27</v>
      </c>
    </row>
    <row r="4" spans="1:15">
      <c r="A4" s="35" t="s">
        <v>28</v>
      </c>
      <c r="B4" t="s">
        <v>21</v>
      </c>
      <c r="C4" s="1" t="s">
        <v>12</v>
      </c>
      <c r="D4" t="s">
        <v>13</v>
      </c>
      <c r="E4" s="4">
        <v>39.9</v>
      </c>
      <c r="F4" s="4">
        <f>Tabela1[[#This Row],[Preço Unitário]]-$L$5</f>
        <v>39.799999999999997</v>
      </c>
      <c r="G4" s="15"/>
      <c r="H4" s="15">
        <v>11</v>
      </c>
      <c r="I4" s="4">
        <f>Tabela1[[#This Row],[Preço Unitário]]*Tabela1[[#This Row],[Quantidade]]</f>
        <v>0</v>
      </c>
      <c r="J4" s="4">
        <f>Tabela1[[#This Row],[Valor Total]]*$L$5</f>
        <v>0</v>
      </c>
      <c r="L4" s="7" t="s">
        <v>29</v>
      </c>
      <c r="N4" t="s">
        <v>30</v>
      </c>
      <c r="O4" s="4">
        <f>SUM(E4,E23)</f>
        <v>69.8</v>
      </c>
    </row>
    <row r="5" spans="1:15">
      <c r="A5" s="35" t="s">
        <v>31</v>
      </c>
      <c r="B5" t="s">
        <v>6</v>
      </c>
      <c r="C5" s="1" t="s">
        <v>7</v>
      </c>
      <c r="D5" t="s">
        <v>8</v>
      </c>
      <c r="E5" s="4">
        <v>25.9</v>
      </c>
      <c r="F5" s="4">
        <f>Tabela1[[#This Row],[Preço Unitário]]-$L$5</f>
        <v>25.799999999999997</v>
      </c>
      <c r="G5" s="15">
        <v>12</v>
      </c>
      <c r="H5" s="15">
        <v>12</v>
      </c>
      <c r="I5" s="4">
        <f>Tabela1[[#This Row],[Preço Unitário]]*Tabela1[[#This Row],[Quantidade]]</f>
        <v>310.79999999999995</v>
      </c>
      <c r="J5" s="4">
        <f>Tabela1[[#This Row],[Valor Total]]*$L$5</f>
        <v>31.08</v>
      </c>
      <c r="L5" s="8">
        <v>0.1</v>
      </c>
      <c r="N5" t="s">
        <v>32</v>
      </c>
      <c r="O5" s="4">
        <f>SUM(E4:E23)</f>
        <v>2983.0000000000009</v>
      </c>
    </row>
    <row r="6" spans="1:15">
      <c r="A6" s="35" t="s">
        <v>33</v>
      </c>
      <c r="B6" t="s">
        <v>17</v>
      </c>
      <c r="C6" s="1" t="s">
        <v>7</v>
      </c>
      <c r="D6" t="s">
        <v>8</v>
      </c>
      <c r="E6" s="4">
        <v>65.900000000000006</v>
      </c>
      <c r="F6" s="4">
        <f>Tabela1[[#This Row],[Preço Unitário]]-$L$5</f>
        <v>65.800000000000011</v>
      </c>
      <c r="G6" s="15">
        <v>12</v>
      </c>
      <c r="H6" s="15">
        <v>12</v>
      </c>
      <c r="I6" s="4">
        <f>Tabela1[[#This Row],[Preço Unitário]]*Tabela1[[#This Row],[Quantidade]]</f>
        <v>790.80000000000007</v>
      </c>
      <c r="J6" s="4">
        <f>Tabela1[[#This Row],[Valor Total]]*$L$5</f>
        <v>79.080000000000013</v>
      </c>
      <c r="N6" t="s">
        <v>34</v>
      </c>
      <c r="O6" s="4">
        <f>SUM($E$4:$E$23)</f>
        <v>2983.0000000000009</v>
      </c>
    </row>
    <row r="7" spans="1:15">
      <c r="A7" s="35" t="s">
        <v>35</v>
      </c>
      <c r="B7" t="s">
        <v>17</v>
      </c>
      <c r="C7" s="1" t="s">
        <v>10</v>
      </c>
      <c r="D7" t="s">
        <v>8</v>
      </c>
      <c r="E7" s="4">
        <v>70.900000000000006</v>
      </c>
      <c r="F7" s="4">
        <f>Tabela1[[#This Row],[Preço Unitário]]-$L$5</f>
        <v>70.800000000000011</v>
      </c>
      <c r="G7" s="15">
        <v>13</v>
      </c>
      <c r="H7" s="15">
        <v>13</v>
      </c>
      <c r="I7" s="4">
        <f>Tabela1[[#This Row],[Preço Unitário]]*Tabela1[[#This Row],[Quantidade]]</f>
        <v>921.7</v>
      </c>
      <c r="J7" s="4">
        <f>Tabela1[[#This Row],[Valor Total]]*$L$5</f>
        <v>92.170000000000016</v>
      </c>
    </row>
    <row r="8" spans="1:15">
      <c r="A8" s="35" t="s">
        <v>36</v>
      </c>
      <c r="B8" t="s">
        <v>17</v>
      </c>
      <c r="C8" s="1" t="s">
        <v>9</v>
      </c>
      <c r="D8" t="s">
        <v>8</v>
      </c>
      <c r="E8" s="4">
        <v>69.900000000000006</v>
      </c>
      <c r="F8" s="4">
        <f>Tabela1[[#This Row],[Preço Unitário]]-$L$5</f>
        <v>69.800000000000011</v>
      </c>
      <c r="G8" s="15">
        <v>15</v>
      </c>
      <c r="H8" s="15">
        <v>15</v>
      </c>
      <c r="I8" s="4">
        <f>Tabela1[[#This Row],[Preço Unitário]]*Tabela1[[#This Row],[Quantidade]]</f>
        <v>1048.5</v>
      </c>
      <c r="J8" s="4">
        <f>Tabela1[[#This Row],[Valor Total]]*$L$5</f>
        <v>104.85000000000001</v>
      </c>
    </row>
    <row r="9" spans="1:15">
      <c r="A9" s="35" t="s">
        <v>37</v>
      </c>
      <c r="B9" t="s">
        <v>22</v>
      </c>
      <c r="C9" s="1" t="s">
        <v>12</v>
      </c>
      <c r="D9" t="s">
        <v>13</v>
      </c>
      <c r="E9" s="4">
        <v>49.9</v>
      </c>
      <c r="F9" s="4">
        <f>Tabela1[[#This Row],[Preço Unitário]]-$L$5</f>
        <v>49.8</v>
      </c>
      <c r="G9" s="15">
        <v>21</v>
      </c>
      <c r="H9" s="15">
        <v>21</v>
      </c>
      <c r="I9" s="4">
        <f>Tabela1[[#This Row],[Preço Unitário]]*Tabela1[[#This Row],[Quantidade]]</f>
        <v>1047.8999999999999</v>
      </c>
      <c r="J9" s="4">
        <f>Tabela1[[#This Row],[Valor Total]]*$L$5</f>
        <v>104.78999999999999</v>
      </c>
    </row>
    <row r="10" spans="1:15">
      <c r="A10" s="35" t="s">
        <v>38</v>
      </c>
      <c r="B10" t="s">
        <v>18</v>
      </c>
      <c r="C10" s="1">
        <v>38</v>
      </c>
      <c r="D10" t="s">
        <v>19</v>
      </c>
      <c r="E10" s="4">
        <v>259.89999999999998</v>
      </c>
      <c r="F10" s="4">
        <f>Tabela1[[#This Row],[Preço Unitário]]-$L$5</f>
        <v>259.79999999999995</v>
      </c>
      <c r="G10" s="15">
        <v>2</v>
      </c>
      <c r="H10" s="15">
        <v>0</v>
      </c>
      <c r="I10" s="4">
        <f>Tabela1[[#This Row],[Preço Unitário]]*Tabela1[[#This Row],[Quantidade]]</f>
        <v>519.79999999999995</v>
      </c>
      <c r="J10" s="4">
        <f>Tabela1[[#This Row],[Valor Total]]*$L$5</f>
        <v>51.98</v>
      </c>
    </row>
    <row r="11" spans="1:15">
      <c r="A11" s="35" t="s">
        <v>39</v>
      </c>
      <c r="B11" t="s">
        <v>20</v>
      </c>
      <c r="C11" s="1" t="s">
        <v>12</v>
      </c>
      <c r="D11" t="s">
        <v>13</v>
      </c>
      <c r="E11" s="4">
        <v>259.89999999999998</v>
      </c>
      <c r="F11" s="4">
        <f>Tabela1[[#This Row],[Preço Unitário]]-$L$5</f>
        <v>259.79999999999995</v>
      </c>
      <c r="G11" s="15">
        <v>1</v>
      </c>
      <c r="H11" s="15">
        <v>1</v>
      </c>
      <c r="I11" s="4">
        <f>Tabela1[[#This Row],[Preço Unitário]]*Tabela1[[#This Row],[Quantidade]]</f>
        <v>259.89999999999998</v>
      </c>
      <c r="J11" s="4">
        <f>Tabela1[[#This Row],[Valor Total]]*$L$5</f>
        <v>25.99</v>
      </c>
    </row>
    <row r="12" spans="1:15">
      <c r="A12" s="35" t="s">
        <v>40</v>
      </c>
      <c r="B12" t="s">
        <v>18</v>
      </c>
      <c r="C12" s="1">
        <v>37</v>
      </c>
      <c r="D12" t="s">
        <v>19</v>
      </c>
      <c r="E12" s="4">
        <v>249.9</v>
      </c>
      <c r="F12" s="4">
        <f>Tabela1[[#This Row],[Preço Unitário]]-$L$5</f>
        <v>249.8</v>
      </c>
      <c r="G12" s="15">
        <v>1</v>
      </c>
      <c r="H12" s="15">
        <v>1</v>
      </c>
      <c r="I12" s="4">
        <f>Tabela1[[#This Row],[Preço Unitário]]*Tabela1[[#This Row],[Quantidade]]</f>
        <v>249.9</v>
      </c>
      <c r="J12" s="4">
        <f>Tabela1[[#This Row],[Valor Total]]*$L$5</f>
        <v>24.990000000000002</v>
      </c>
    </row>
    <row r="13" spans="1:15">
      <c r="A13" s="35" t="s">
        <v>41</v>
      </c>
      <c r="B13" t="s">
        <v>14</v>
      </c>
      <c r="C13" s="1" t="s">
        <v>7</v>
      </c>
      <c r="D13" t="s">
        <v>8</v>
      </c>
      <c r="E13" s="4">
        <v>249.9</v>
      </c>
      <c r="F13" s="4">
        <f>Tabela1[[#This Row],[Preço Unitário]]-$L$5</f>
        <v>249.8</v>
      </c>
      <c r="G13" s="15">
        <v>1</v>
      </c>
      <c r="H13" s="15">
        <v>1</v>
      </c>
      <c r="I13" s="4">
        <f>Tabela1[[#This Row],[Preço Unitário]]*Tabela1[[#This Row],[Quantidade]]</f>
        <v>249.9</v>
      </c>
      <c r="J13" s="4">
        <f>Tabela1[[#This Row],[Valor Total]]*$L$5</f>
        <v>24.990000000000002</v>
      </c>
    </row>
    <row r="14" spans="1:15">
      <c r="A14" s="35" t="s">
        <v>42</v>
      </c>
      <c r="B14" t="s">
        <v>14</v>
      </c>
      <c r="C14" s="1" t="s">
        <v>10</v>
      </c>
      <c r="D14" t="s">
        <v>8</v>
      </c>
      <c r="E14" s="4">
        <v>299.89999999999998</v>
      </c>
      <c r="F14" s="4">
        <f>Tabela1[[#This Row],[Preço Unitário]]-$L$5</f>
        <v>299.79999999999995</v>
      </c>
      <c r="G14" s="15">
        <v>1</v>
      </c>
      <c r="H14" s="15">
        <v>1</v>
      </c>
      <c r="I14" s="4">
        <f>Tabela1[[#This Row],[Preço Unitário]]*Tabela1[[#This Row],[Quantidade]]</f>
        <v>299.89999999999998</v>
      </c>
      <c r="J14" s="4">
        <f>Tabela1[[#This Row],[Valor Total]]*$L$5</f>
        <v>29.99</v>
      </c>
    </row>
    <row r="15" spans="1:15">
      <c r="A15" s="35" t="s">
        <v>43</v>
      </c>
      <c r="B15" t="s">
        <v>18</v>
      </c>
      <c r="C15" s="1">
        <v>36</v>
      </c>
      <c r="D15" t="s">
        <v>19</v>
      </c>
      <c r="E15" s="4">
        <v>199.9</v>
      </c>
      <c r="F15" s="4">
        <f>Tabela1[[#This Row],[Preço Unitário]]-$L$5</f>
        <v>199.8</v>
      </c>
      <c r="G15" s="15">
        <v>2</v>
      </c>
      <c r="H15" s="15">
        <v>2</v>
      </c>
      <c r="I15" s="4">
        <f>Tabela1[[#This Row],[Preço Unitário]]*Tabela1[[#This Row],[Quantidade]]</f>
        <v>399.8</v>
      </c>
      <c r="J15" s="4">
        <f>Tabela1[[#This Row],[Valor Total]]*$L$5</f>
        <v>39.980000000000004</v>
      </c>
    </row>
    <row r="16" spans="1:15">
      <c r="A16" s="35" t="s">
        <v>44</v>
      </c>
      <c r="B16" t="s">
        <v>16</v>
      </c>
      <c r="C16" s="1" t="s">
        <v>12</v>
      </c>
      <c r="D16" t="s">
        <v>8</v>
      </c>
      <c r="E16" s="4">
        <v>149.9</v>
      </c>
      <c r="F16" s="4">
        <f>Tabela1[[#This Row],[Preço Unitário]]-$L$5</f>
        <v>149.80000000000001</v>
      </c>
      <c r="G16" s="15">
        <v>2</v>
      </c>
      <c r="H16" s="15">
        <v>2</v>
      </c>
      <c r="I16" s="4">
        <f>Tabela1[[#This Row],[Preço Unitário]]*Tabela1[[#This Row],[Quantidade]]</f>
        <v>299.8</v>
      </c>
      <c r="J16" s="4">
        <f>Tabela1[[#This Row],[Valor Total]]*$L$5</f>
        <v>29.980000000000004</v>
      </c>
    </row>
    <row r="17" spans="1:10">
      <c r="A17" s="35" t="s">
        <v>45</v>
      </c>
      <c r="B17" t="s">
        <v>14</v>
      </c>
      <c r="C17" s="1" t="s">
        <v>9</v>
      </c>
      <c r="D17" t="s">
        <v>8</v>
      </c>
      <c r="E17" s="4">
        <v>259.89999999999998</v>
      </c>
      <c r="F17" s="4">
        <f>Tabela1[[#This Row],[Preço Unitário]]-$L$5</f>
        <v>259.79999999999995</v>
      </c>
      <c r="G17" s="15">
        <v>2</v>
      </c>
      <c r="H17" s="15">
        <v>2</v>
      </c>
      <c r="I17" s="4">
        <f>Tabela1[[#This Row],[Preço Unitário]]*Tabela1[[#This Row],[Quantidade]]</f>
        <v>519.79999999999995</v>
      </c>
      <c r="J17" s="4">
        <f>Tabela1[[#This Row],[Valor Total]]*$L$5</f>
        <v>51.98</v>
      </c>
    </row>
    <row r="18" spans="1:10">
      <c r="A18" s="35" t="s">
        <v>46</v>
      </c>
      <c r="B18" t="s">
        <v>11</v>
      </c>
      <c r="C18" s="1" t="s">
        <v>12</v>
      </c>
      <c r="D18" t="s">
        <v>13</v>
      </c>
      <c r="E18" s="4">
        <v>399.9</v>
      </c>
      <c r="F18" s="4">
        <f>Tabela1[[#This Row],[Preço Unitário]]-$L$5</f>
        <v>399.79999999999995</v>
      </c>
      <c r="G18" s="15">
        <v>3</v>
      </c>
      <c r="H18" s="15">
        <v>3</v>
      </c>
      <c r="I18" s="4">
        <f>Tabela1[[#This Row],[Preço Unitário]]*Tabela1[[#This Row],[Quantidade]]</f>
        <v>1199.6999999999998</v>
      </c>
      <c r="J18" s="4">
        <f>Tabela1[[#This Row],[Valor Total]]*$L$5</f>
        <v>119.96999999999998</v>
      </c>
    </row>
    <row r="19" spans="1:10">
      <c r="A19" s="35" t="s">
        <v>47</v>
      </c>
      <c r="B19" t="s">
        <v>15</v>
      </c>
      <c r="C19" s="1" t="s">
        <v>9</v>
      </c>
      <c r="D19" t="s">
        <v>8</v>
      </c>
      <c r="E19" s="4">
        <v>89.9</v>
      </c>
      <c r="F19" s="4">
        <f>Tabela1[[#This Row],[Preço Unitário]]-$L$5</f>
        <v>89.800000000000011</v>
      </c>
      <c r="G19" s="15">
        <v>5</v>
      </c>
      <c r="H19" s="15">
        <v>5</v>
      </c>
      <c r="I19" s="4">
        <f>Tabela1[[#This Row],[Preço Unitário]]*Tabela1[[#This Row],[Quantidade]]</f>
        <v>449.5</v>
      </c>
      <c r="J19" s="4">
        <f>Tabela1[[#This Row],[Valor Total]]*$L$5</f>
        <v>44.95</v>
      </c>
    </row>
    <row r="20" spans="1:10">
      <c r="A20" s="35" t="s">
        <v>48</v>
      </c>
      <c r="B20" t="s">
        <v>6</v>
      </c>
      <c r="C20" s="1" t="s">
        <v>10</v>
      </c>
      <c r="D20" t="s">
        <v>8</v>
      </c>
      <c r="E20" s="4">
        <v>32.9</v>
      </c>
      <c r="F20" s="4">
        <f>Tabela1[[#This Row],[Preço Unitário]]-$L$5</f>
        <v>32.799999999999997</v>
      </c>
      <c r="G20" s="15">
        <v>6</v>
      </c>
      <c r="H20" s="15">
        <v>6</v>
      </c>
      <c r="I20" s="4">
        <f>Tabela1[[#This Row],[Preço Unitário]]*Tabela1[[#This Row],[Quantidade]]</f>
        <v>197.39999999999998</v>
      </c>
      <c r="J20" s="4">
        <f>Tabela1[[#This Row],[Valor Total]]*$L$5</f>
        <v>19.739999999999998</v>
      </c>
    </row>
    <row r="21" spans="1:10">
      <c r="A21" s="35" t="s">
        <v>49</v>
      </c>
      <c r="B21" t="s">
        <v>15</v>
      </c>
      <c r="C21" s="1" t="s">
        <v>10</v>
      </c>
      <c r="D21" t="s">
        <v>8</v>
      </c>
      <c r="E21" s="4">
        <v>92.9</v>
      </c>
      <c r="F21" s="4">
        <f>Tabela1[[#This Row],[Preço Unitário]]-$L$5</f>
        <v>92.800000000000011</v>
      </c>
      <c r="G21" s="15">
        <v>6</v>
      </c>
      <c r="H21" s="15">
        <v>6</v>
      </c>
      <c r="I21" s="4">
        <f>Tabela1[[#This Row],[Preço Unitário]]*Tabela1[[#This Row],[Quantidade]]</f>
        <v>557.40000000000009</v>
      </c>
      <c r="J21" s="4">
        <f>Tabela1[[#This Row],[Valor Total]]*$L$5</f>
        <v>55.740000000000009</v>
      </c>
    </row>
    <row r="22" spans="1:10">
      <c r="A22" s="35" t="s">
        <v>50</v>
      </c>
      <c r="B22" t="s">
        <v>15</v>
      </c>
      <c r="C22" s="1" t="s">
        <v>7</v>
      </c>
      <c r="D22" t="s">
        <v>8</v>
      </c>
      <c r="E22" s="4">
        <v>85.9</v>
      </c>
      <c r="F22" s="4">
        <f>Tabela1[[#This Row],[Preço Unitário]]-$L$5</f>
        <v>85.800000000000011</v>
      </c>
      <c r="G22" s="15">
        <v>8</v>
      </c>
      <c r="H22" s="15">
        <v>8</v>
      </c>
      <c r="I22" s="4">
        <f>Tabela1[[#This Row],[Preço Unitário]]*Tabela1[[#This Row],[Quantidade]]</f>
        <v>687.2</v>
      </c>
      <c r="J22" s="4">
        <f>Tabela1[[#This Row],[Valor Total]]*$L$5</f>
        <v>68.720000000000013</v>
      </c>
    </row>
    <row r="23" spans="1:10">
      <c r="A23" s="35" t="s">
        <v>51</v>
      </c>
      <c r="B23" t="s">
        <v>6</v>
      </c>
      <c r="C23" s="1" t="s">
        <v>9</v>
      </c>
      <c r="D23" t="s">
        <v>8</v>
      </c>
      <c r="E23" s="4">
        <v>29.9</v>
      </c>
      <c r="F23" s="4">
        <f>Tabela1[[#This Row],[Preço Unitário]]-$L$5</f>
        <v>29.799999999999997</v>
      </c>
      <c r="G23" s="15">
        <v>10</v>
      </c>
      <c r="H23" s="15">
        <v>10</v>
      </c>
      <c r="I23" s="4">
        <f>Tabela1[[#This Row],[Preço Unitário]]*Tabela1[[#This Row],[Quantidade]]</f>
        <v>299</v>
      </c>
      <c r="J23" s="4">
        <f>Tabela1[[#This Row],[Valor Total]]*$L$5</f>
        <v>29.900000000000002</v>
      </c>
    </row>
    <row r="24" spans="1:10">
      <c r="A24" s="9"/>
      <c r="B24" s="9"/>
      <c r="C24" s="10"/>
      <c r="D24" s="11" t="s">
        <v>52</v>
      </c>
      <c r="E24" s="6">
        <f>SUM(E4:E23)</f>
        <v>2983.0000000000009</v>
      </c>
      <c r="F24" s="6">
        <f>SUBTOTAL(109,F4:F23)</f>
        <v>2981.0000000000009</v>
      </c>
      <c r="G24" s="15">
        <f>SUBTOTAL(109,G4:G23)</f>
        <v>123</v>
      </c>
      <c r="H24" s="15">
        <f>SUBTOTAL(109,H4:H23)</f>
        <v>132</v>
      </c>
      <c r="I24" s="5">
        <f>SUBTOTAL(109,I4:I23)</f>
        <v>10308.699999999999</v>
      </c>
      <c r="J24" s="4">
        <f>SUBTOTAL(109,J4:J23)</f>
        <v>1030.8700000000003</v>
      </c>
    </row>
  </sheetData>
  <mergeCells count="1">
    <mergeCell ref="A1:J1"/>
  </mergeCells>
  <conditionalFormatting sqref="G4:G23">
    <cfRule type="cellIs" dxfId="42" priority="4" operator="greaterThan">
      <formula>10</formula>
    </cfRule>
  </conditionalFormatting>
  <conditionalFormatting sqref="G4:G23">
    <cfRule type="cellIs" dxfId="41" priority="3" operator="lessThan">
      <formula>1</formula>
    </cfRule>
  </conditionalFormatting>
  <conditionalFormatting sqref="H4:H23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I4:I2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{E618CA92-B256-4767-9AA6-E108B001C890}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18CA92-B256-4767-9AA6-E108B001C89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I4:I23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2767D-6DD6-49C3-A7F4-BB4A43D19343}">
  <dimension ref="A1:I35"/>
  <sheetViews>
    <sheetView workbookViewId="0">
      <selection activeCell="K8" sqref="K8"/>
    </sheetView>
  </sheetViews>
  <sheetFormatPr defaultRowHeight="15"/>
  <cols>
    <col min="2" max="2" width="11.140625" bestFit="1" customWidth="1"/>
    <col min="3" max="3" width="9.42578125" bestFit="1" customWidth="1"/>
    <col min="4" max="4" width="11.7109375" style="33" bestFit="1" customWidth="1"/>
    <col min="5" max="5" width="12.5703125" bestFit="1" customWidth="1"/>
    <col min="6" max="6" width="14.28515625" bestFit="1" customWidth="1"/>
    <col min="7" max="7" width="14.28515625" customWidth="1"/>
    <col min="8" max="8" width="13.140625" customWidth="1"/>
    <col min="9" max="9" width="12.28515625" bestFit="1" customWidth="1"/>
    <col min="12" max="12" width="11.42578125" bestFit="1" customWidth="1"/>
    <col min="13" max="13" width="12.28515625" bestFit="1" customWidth="1"/>
    <col min="14" max="14" width="13" bestFit="1" customWidth="1"/>
  </cols>
  <sheetData>
    <row r="1" spans="1:9" ht="26.25">
      <c r="A1" s="58" t="s">
        <v>53</v>
      </c>
      <c r="B1" s="58"/>
      <c r="C1" s="58"/>
      <c r="D1" s="58"/>
      <c r="E1" s="58"/>
      <c r="F1" s="58"/>
      <c r="G1" s="58"/>
      <c r="H1" s="58"/>
      <c r="I1" s="58"/>
    </row>
    <row r="2" spans="1:9" s="43" customFormat="1" ht="6.75" customHeight="1">
      <c r="A2"/>
      <c r="B2"/>
      <c r="C2"/>
      <c r="D2" s="33"/>
      <c r="E2"/>
      <c r="F2"/>
      <c r="G2"/>
      <c r="H2"/>
      <c r="I2"/>
    </row>
    <row r="3" spans="1:9">
      <c r="A3" s="39" t="s">
        <v>54</v>
      </c>
      <c r="B3" s="39" t="s">
        <v>55</v>
      </c>
      <c r="C3" s="40" t="s">
        <v>23</v>
      </c>
      <c r="D3" s="44" t="s">
        <v>2</v>
      </c>
      <c r="E3" s="41" t="s">
        <v>3</v>
      </c>
      <c r="F3" s="41" t="s">
        <v>5</v>
      </c>
      <c r="G3" s="41" t="s">
        <v>56</v>
      </c>
      <c r="H3" s="42" t="s">
        <v>52</v>
      </c>
      <c r="I3" s="42" t="s">
        <v>57</v>
      </c>
    </row>
    <row r="4" spans="1:9">
      <c r="A4" s="38">
        <f>MONTH(Tabela3[[#This Row],[Data]])</f>
        <v>1</v>
      </c>
      <c r="B4" s="45">
        <v>45662</v>
      </c>
      <c r="C4" s="38" t="s">
        <v>38</v>
      </c>
      <c r="D4" s="38" t="s">
        <v>12</v>
      </c>
      <c r="E4" s="38" t="s">
        <v>13</v>
      </c>
      <c r="F4" s="46">
        <v>1</v>
      </c>
      <c r="G4" s="50">
        <f>_xlfn.XLOOKUP(Tabela3[[#This Row],[Código]],Tabela1[Código],Tabela1[Preço Unitário],"",0)</f>
        <v>259.89999999999998</v>
      </c>
      <c r="H4" s="37">
        <f>Tabela3[[#This Row],[Quantidade]]*Tabela3[[#This Row],[Unitário]]</f>
        <v>259.89999999999998</v>
      </c>
      <c r="I4" s="38" t="s">
        <v>58</v>
      </c>
    </row>
    <row r="5" spans="1:9">
      <c r="A5" s="38">
        <f>MONTH(Tabela3[[#This Row],[Data]])</f>
        <v>1</v>
      </c>
      <c r="B5" s="45">
        <v>45663</v>
      </c>
      <c r="C5" s="38" t="s">
        <v>28</v>
      </c>
      <c r="D5" s="38">
        <v>36</v>
      </c>
      <c r="E5" s="38" t="s">
        <v>59</v>
      </c>
      <c r="F5" s="46">
        <v>1</v>
      </c>
      <c r="G5" s="50">
        <f>_xlfn.XLOOKUP(Tabela3[[#This Row],[Código]],Tabela1[Código],Tabela1[Preço Unitário],"",0)</f>
        <v>39.9</v>
      </c>
      <c r="H5" s="37">
        <f>Tabela3[[#This Row],[Quantidade]]*Tabela3[[#This Row],[Unitário]]</f>
        <v>39.9</v>
      </c>
      <c r="I5" s="38" t="s">
        <v>60</v>
      </c>
    </row>
    <row r="6" spans="1:9">
      <c r="A6" s="38">
        <f>MONTH(Tabela3[[#This Row],[Data]])</f>
        <v>1</v>
      </c>
      <c r="B6" s="45">
        <v>45664</v>
      </c>
      <c r="C6" s="38" t="s">
        <v>31</v>
      </c>
      <c r="D6" s="38">
        <v>37</v>
      </c>
      <c r="E6" s="38" t="s">
        <v>59</v>
      </c>
      <c r="F6" s="46">
        <v>2</v>
      </c>
      <c r="G6" s="50">
        <f>_xlfn.XLOOKUP(Tabela3[[#This Row],[Código]],Tabela1[Código],Tabela1[Preço Unitário],"",0)</f>
        <v>25.9</v>
      </c>
      <c r="H6" s="37">
        <f>Tabela3[[#This Row],[Quantidade]]*Tabela3[[#This Row],[Unitário]]</f>
        <v>51.8</v>
      </c>
      <c r="I6" s="38" t="s">
        <v>61</v>
      </c>
    </row>
    <row r="7" spans="1:9">
      <c r="A7" s="38">
        <f>MONTH(Tabela3[[#This Row],[Data]])</f>
        <v>1</v>
      </c>
      <c r="B7" s="45">
        <v>45665</v>
      </c>
      <c r="C7" s="38" t="s">
        <v>33</v>
      </c>
      <c r="D7" s="38" t="s">
        <v>9</v>
      </c>
      <c r="E7" s="38" t="s">
        <v>8</v>
      </c>
      <c r="F7" s="46">
        <v>1</v>
      </c>
      <c r="G7" s="50">
        <f>_xlfn.XLOOKUP(Tabela3[[#This Row],[Código]],Tabela1[Código],Tabela1[Preço Unitário],"",0)</f>
        <v>65.900000000000006</v>
      </c>
      <c r="H7" s="37">
        <f>Tabela3[[#This Row],[Quantidade]]*Tabela3[[#This Row],[Unitário]]</f>
        <v>65.900000000000006</v>
      </c>
      <c r="I7" s="38" t="s">
        <v>61</v>
      </c>
    </row>
    <row r="8" spans="1:9">
      <c r="A8" s="38">
        <f>MONTH(Tabela3[[#This Row],[Data]])</f>
        <v>1</v>
      </c>
      <c r="B8" s="45">
        <v>45666</v>
      </c>
      <c r="C8" s="38" t="s">
        <v>35</v>
      </c>
      <c r="D8" s="38" t="s">
        <v>9</v>
      </c>
      <c r="E8" s="38" t="s">
        <v>8</v>
      </c>
      <c r="F8" s="46">
        <v>1</v>
      </c>
      <c r="G8" s="50">
        <f>_xlfn.XLOOKUP(Tabela3[[#This Row],[Código]],Tabela1[Código],Tabela1[Preço Unitário],"",0)</f>
        <v>70.900000000000006</v>
      </c>
      <c r="H8" s="37">
        <f>Tabela3[[#This Row],[Quantidade]]*Tabela3[[#This Row],[Unitário]]</f>
        <v>70.900000000000006</v>
      </c>
      <c r="I8" s="38" t="s">
        <v>60</v>
      </c>
    </row>
    <row r="9" spans="1:9">
      <c r="A9" s="38">
        <f>MONTH(Tabela3[[#This Row],[Data]])</f>
        <v>1</v>
      </c>
      <c r="B9" s="45">
        <v>45667</v>
      </c>
      <c r="C9" s="38" t="s">
        <v>36</v>
      </c>
      <c r="D9" s="38">
        <v>36</v>
      </c>
      <c r="E9" s="38" t="s">
        <v>59</v>
      </c>
      <c r="F9" s="46">
        <v>1</v>
      </c>
      <c r="G9" s="50">
        <f>_xlfn.XLOOKUP(Tabela3[[#This Row],[Código]],Tabela1[Código],Tabela1[Preço Unitário],"",0)</f>
        <v>69.900000000000006</v>
      </c>
      <c r="H9" s="37">
        <f>Tabela3[[#This Row],[Quantidade]]*Tabela3[[#This Row],[Unitário]]</f>
        <v>69.900000000000006</v>
      </c>
      <c r="I9" s="38" t="s">
        <v>60</v>
      </c>
    </row>
    <row r="10" spans="1:9">
      <c r="A10" s="38">
        <f>MONTH(Tabela3[[#This Row],[Data]])</f>
        <v>1</v>
      </c>
      <c r="B10" s="45">
        <v>45668</v>
      </c>
      <c r="C10" s="38" t="s">
        <v>37</v>
      </c>
      <c r="D10" s="38" t="s">
        <v>12</v>
      </c>
      <c r="E10" s="38" t="s">
        <v>13</v>
      </c>
      <c r="F10" s="46">
        <v>1</v>
      </c>
      <c r="G10" s="50">
        <f>_xlfn.XLOOKUP(Tabela3[[#This Row],[Código]],Tabela1[Código],Tabela1[Preço Unitário],"",0)</f>
        <v>49.9</v>
      </c>
      <c r="H10" s="37">
        <f>Tabela3[[#This Row],[Quantidade]]*Tabela3[[#This Row],[Unitário]]</f>
        <v>49.9</v>
      </c>
      <c r="I10" s="38" t="s">
        <v>58</v>
      </c>
    </row>
    <row r="11" spans="1:9">
      <c r="A11" s="38">
        <f>MONTH(Tabela3[[#This Row],[Data]])</f>
        <v>1</v>
      </c>
      <c r="B11" s="45">
        <v>45669</v>
      </c>
      <c r="C11" s="38" t="s">
        <v>39</v>
      </c>
      <c r="D11" s="38" t="s">
        <v>9</v>
      </c>
      <c r="E11" s="38" t="s">
        <v>8</v>
      </c>
      <c r="F11" s="46">
        <v>2</v>
      </c>
      <c r="G11" s="50">
        <f>_xlfn.XLOOKUP(Tabela3[[#This Row],[Código]],Tabela1[Código],Tabela1[Preço Unitário],"",0)</f>
        <v>259.89999999999998</v>
      </c>
      <c r="H11" s="37">
        <f>Tabela3[[#This Row],[Quantidade]]*Tabela3[[#This Row],[Unitário]]</f>
        <v>519.79999999999995</v>
      </c>
      <c r="I11" s="38" t="s">
        <v>60</v>
      </c>
    </row>
    <row r="12" spans="1:9">
      <c r="A12" s="38">
        <f>MONTH(Tabela3[[#This Row],[Data]])</f>
        <v>1</v>
      </c>
      <c r="B12" s="45">
        <v>45670</v>
      </c>
      <c r="C12" s="38" t="s">
        <v>40</v>
      </c>
      <c r="D12" s="38" t="s">
        <v>10</v>
      </c>
      <c r="E12" s="38" t="s">
        <v>8</v>
      </c>
      <c r="F12" s="46">
        <v>2</v>
      </c>
      <c r="G12" s="50">
        <f>_xlfn.XLOOKUP(Tabela3[[#This Row],[Código]],Tabela1[Código],Tabela1[Preço Unitário],"",0)</f>
        <v>249.9</v>
      </c>
      <c r="H12" s="37">
        <f>Tabela3[[#This Row],[Quantidade]]*Tabela3[[#This Row],[Unitário]]</f>
        <v>499.8</v>
      </c>
      <c r="I12" s="38" t="s">
        <v>60</v>
      </c>
    </row>
    <row r="13" spans="1:9">
      <c r="A13" s="38">
        <f>MONTH(Tabela3[[#This Row],[Data]])</f>
        <v>1</v>
      </c>
      <c r="B13" s="45">
        <v>45671</v>
      </c>
      <c r="C13" s="38" t="s">
        <v>41</v>
      </c>
      <c r="D13" s="38" t="s">
        <v>9</v>
      </c>
      <c r="E13" s="38" t="s">
        <v>8</v>
      </c>
      <c r="F13" s="46">
        <v>1</v>
      </c>
      <c r="G13" s="50">
        <f>_xlfn.XLOOKUP(Tabela3[[#This Row],[Código]],Tabela1[Código],Tabela1[Preço Unitário],"",0)</f>
        <v>249.9</v>
      </c>
      <c r="H13" s="37">
        <f>Tabela3[[#This Row],[Quantidade]]*Tabela3[[#This Row],[Unitário]]</f>
        <v>249.9</v>
      </c>
      <c r="I13" s="38" t="s">
        <v>61</v>
      </c>
    </row>
    <row r="14" spans="1:9">
      <c r="A14" s="38">
        <f>MONTH(Tabela3[[#This Row],[Data]])</f>
        <v>1</v>
      </c>
      <c r="B14" s="45">
        <v>45672</v>
      </c>
      <c r="C14" s="38" t="s">
        <v>42</v>
      </c>
      <c r="D14" s="38" t="s">
        <v>10</v>
      </c>
      <c r="E14" s="38" t="s">
        <v>8</v>
      </c>
      <c r="F14" s="46">
        <v>1</v>
      </c>
      <c r="G14" s="50">
        <f>_xlfn.XLOOKUP(Tabela3[[#This Row],[Código]],Tabela1[Código],Tabela1[Preço Unitário],"",0)</f>
        <v>299.89999999999998</v>
      </c>
      <c r="H14" s="37">
        <f>Tabela3[[#This Row],[Quantidade]]*Tabela3[[#This Row],[Unitário]]</f>
        <v>299.89999999999998</v>
      </c>
      <c r="I14" s="38" t="s">
        <v>58</v>
      </c>
    </row>
    <row r="15" spans="1:9">
      <c r="A15" s="38">
        <f>MONTH(Tabela3[[#This Row],[Data]])</f>
        <v>2</v>
      </c>
      <c r="B15" s="45">
        <v>45704</v>
      </c>
      <c r="C15" s="38" t="s">
        <v>43</v>
      </c>
      <c r="D15" s="38" t="s">
        <v>12</v>
      </c>
      <c r="E15" s="38" t="s">
        <v>13</v>
      </c>
      <c r="F15" s="46">
        <v>1</v>
      </c>
      <c r="G15" s="50">
        <f>_xlfn.XLOOKUP(Tabela3[[#This Row],[Código]],Tabela1[Código],Tabela1[Preço Unitário],"",0)</f>
        <v>199.9</v>
      </c>
      <c r="H15" s="37">
        <f>Tabela3[[#This Row],[Quantidade]]*Tabela3[[#This Row],[Unitário]]</f>
        <v>199.9</v>
      </c>
      <c r="I15" s="38" t="s">
        <v>61</v>
      </c>
    </row>
    <row r="16" spans="1:9">
      <c r="A16" s="38">
        <f>MONTH(Tabela3[[#This Row],[Data]])</f>
        <v>2</v>
      </c>
      <c r="B16" s="45">
        <v>45705</v>
      </c>
      <c r="C16" s="38" t="s">
        <v>44</v>
      </c>
      <c r="D16" s="38" t="s">
        <v>7</v>
      </c>
      <c r="E16" s="38" t="s">
        <v>8</v>
      </c>
      <c r="F16" s="46">
        <v>2</v>
      </c>
      <c r="G16" s="50">
        <f>_xlfn.XLOOKUP(Tabela3[[#This Row],[Código]],Tabela1[Código],Tabela1[Preço Unitário],"",0)</f>
        <v>149.9</v>
      </c>
      <c r="H16" s="37">
        <f>Tabela3[[#This Row],[Quantidade]]*Tabela3[[#This Row],[Unitário]]</f>
        <v>299.8</v>
      </c>
      <c r="I16" s="38" t="s">
        <v>58</v>
      </c>
    </row>
    <row r="17" spans="1:9">
      <c r="A17" s="38">
        <f>MONTH(Tabela3[[#This Row],[Data]])</f>
        <v>2</v>
      </c>
      <c r="B17" s="45">
        <v>45706</v>
      </c>
      <c r="C17" s="38" t="s">
        <v>45</v>
      </c>
      <c r="D17" s="38">
        <v>37</v>
      </c>
      <c r="E17" s="38" t="s">
        <v>59</v>
      </c>
      <c r="F17" s="46">
        <v>1</v>
      </c>
      <c r="G17" s="50">
        <f>_xlfn.XLOOKUP(Tabela3[[#This Row],[Código]],Tabela1[Código],Tabela1[Preço Unitário],"",0)</f>
        <v>259.89999999999998</v>
      </c>
      <c r="H17" s="37">
        <f>Tabela3[[#This Row],[Quantidade]]*Tabela3[[#This Row],[Unitário]]</f>
        <v>259.89999999999998</v>
      </c>
      <c r="I17" s="38" t="s">
        <v>60</v>
      </c>
    </row>
    <row r="18" spans="1:9">
      <c r="A18" s="38">
        <f>MONTH(Tabela3[[#This Row],[Data]])</f>
        <v>2</v>
      </c>
      <c r="B18" s="45">
        <v>45707</v>
      </c>
      <c r="C18" s="38" t="s">
        <v>46</v>
      </c>
      <c r="D18" s="38" t="s">
        <v>10</v>
      </c>
      <c r="E18" s="38" t="s">
        <v>8</v>
      </c>
      <c r="F18" s="46">
        <v>2</v>
      </c>
      <c r="G18" s="50">
        <f>_xlfn.XLOOKUP(Tabela3[[#This Row],[Código]],Tabela1[Código],Tabela1[Preço Unitário],"",0)</f>
        <v>399.9</v>
      </c>
      <c r="H18" s="37">
        <f>Tabela3[[#This Row],[Quantidade]]*Tabela3[[#This Row],[Unitário]]</f>
        <v>799.8</v>
      </c>
      <c r="I18" s="38" t="s">
        <v>61</v>
      </c>
    </row>
    <row r="19" spans="1:9">
      <c r="A19" s="38">
        <f>MONTH(Tabela3[[#This Row],[Data]])</f>
        <v>3</v>
      </c>
      <c r="B19" s="45">
        <v>45736</v>
      </c>
      <c r="C19" s="38" t="s">
        <v>47</v>
      </c>
      <c r="D19" s="38">
        <v>38</v>
      </c>
      <c r="E19" s="38" t="s">
        <v>59</v>
      </c>
      <c r="F19" s="46">
        <v>4</v>
      </c>
      <c r="G19" s="50">
        <f>_xlfn.XLOOKUP(Tabela3[[#This Row],[Código]],Tabela1[Código],Tabela1[Preço Unitário],"",0)</f>
        <v>89.9</v>
      </c>
      <c r="H19" s="37">
        <f>Tabela3[[#This Row],[Quantidade]]*Tabela3[[#This Row],[Unitário]]</f>
        <v>359.6</v>
      </c>
      <c r="I19" s="38" t="s">
        <v>58</v>
      </c>
    </row>
    <row r="20" spans="1:9">
      <c r="A20" s="38">
        <f>MONTH(Tabela3[[#This Row],[Data]])</f>
        <v>3</v>
      </c>
      <c r="B20" s="45">
        <v>45737</v>
      </c>
      <c r="C20" s="38" t="s">
        <v>48</v>
      </c>
      <c r="D20" s="38" t="s">
        <v>7</v>
      </c>
      <c r="E20" s="38" t="s">
        <v>8</v>
      </c>
      <c r="F20" s="46">
        <v>3</v>
      </c>
      <c r="G20" s="50">
        <f>_xlfn.XLOOKUP(Tabela3[[#This Row],[Código]],Tabela1[Código],Tabela1[Preço Unitário],"",0)</f>
        <v>32.9</v>
      </c>
      <c r="H20" s="37">
        <f>Tabela3[[#This Row],[Quantidade]]*Tabela3[[#This Row],[Unitário]]</f>
        <v>98.699999999999989</v>
      </c>
      <c r="I20" s="38" t="s">
        <v>58</v>
      </c>
    </row>
    <row r="21" spans="1:9">
      <c r="A21" s="38">
        <f>MONTH(Tabela3[[#This Row],[Data]])</f>
        <v>3</v>
      </c>
      <c r="B21" s="45">
        <v>45738</v>
      </c>
      <c r="C21" s="38" t="s">
        <v>49</v>
      </c>
      <c r="D21" s="38" t="s">
        <v>9</v>
      </c>
      <c r="E21" s="38" t="s">
        <v>8</v>
      </c>
      <c r="F21" s="46">
        <v>2</v>
      </c>
      <c r="G21" s="50">
        <f>_xlfn.XLOOKUP(Tabela3[[#This Row],[Código]],Tabela1[Código],Tabela1[Preço Unitário],"",0)</f>
        <v>92.9</v>
      </c>
      <c r="H21" s="37">
        <f>Tabela3[[#This Row],[Quantidade]]*Tabela3[[#This Row],[Unitário]]</f>
        <v>185.8</v>
      </c>
      <c r="I21" s="38" t="s">
        <v>60</v>
      </c>
    </row>
    <row r="22" spans="1:9">
      <c r="A22" s="38">
        <f>MONTH(Tabela3[[#This Row],[Data]])</f>
        <v>3</v>
      </c>
      <c r="B22" s="45">
        <v>45739</v>
      </c>
      <c r="C22" s="38" t="s">
        <v>50</v>
      </c>
      <c r="D22" s="38" t="s">
        <v>9</v>
      </c>
      <c r="E22" s="38" t="s">
        <v>8</v>
      </c>
      <c r="F22" s="46">
        <v>3</v>
      </c>
      <c r="G22" s="50">
        <f>_xlfn.XLOOKUP(Tabela3[[#This Row],[Código]],Tabela1[Código],Tabela1[Preço Unitário],"",0)</f>
        <v>85.9</v>
      </c>
      <c r="H22" s="37">
        <f>Tabela3[[#This Row],[Quantidade]]*Tabela3[[#This Row],[Unitário]]</f>
        <v>257.70000000000005</v>
      </c>
      <c r="I22" s="38" t="s">
        <v>61</v>
      </c>
    </row>
    <row r="23" spans="1:9">
      <c r="A23" s="38">
        <f>MONTH(Tabela3[[#This Row],[Data]])</f>
        <v>3</v>
      </c>
      <c r="B23" s="45">
        <v>45740</v>
      </c>
      <c r="C23" s="38" t="s">
        <v>51</v>
      </c>
      <c r="D23" s="38">
        <v>37</v>
      </c>
      <c r="E23" s="38" t="s">
        <v>59</v>
      </c>
      <c r="F23" s="46">
        <v>1</v>
      </c>
      <c r="G23" s="50">
        <f>_xlfn.XLOOKUP(Tabela3[[#This Row],[Código]],Tabela1[Código],Tabela1[Preço Unitário],"",0)</f>
        <v>29.9</v>
      </c>
      <c r="H23" s="37">
        <f>Tabela3[[#This Row],[Quantidade]]*Tabela3[[#This Row],[Unitário]]</f>
        <v>29.9</v>
      </c>
      <c r="I23" s="38" t="s">
        <v>60</v>
      </c>
    </row>
    <row r="24" spans="1:9">
      <c r="A24" s="38">
        <f>MONTH(Tabela3[[#This Row],[Data]])</f>
        <v>4</v>
      </c>
      <c r="B24" s="45">
        <v>45765</v>
      </c>
      <c r="C24" s="38" t="s">
        <v>45</v>
      </c>
      <c r="D24" s="38">
        <v>37</v>
      </c>
      <c r="E24" s="50" t="s">
        <v>59</v>
      </c>
      <c r="F24" s="46">
        <v>1</v>
      </c>
      <c r="G24" s="50">
        <f>_xlfn.XLOOKUP(Tabela3[[#This Row],[Código]],Tabela1[Código],Tabela1[Preço Unitário],"",0)</f>
        <v>259.89999999999998</v>
      </c>
      <c r="H24" s="50">
        <f>Tabela3[[#This Row],[Quantidade]]*Tabela3[[#This Row],[Unitário]]</f>
        <v>259.89999999999998</v>
      </c>
      <c r="I24" s="38" t="s">
        <v>60</v>
      </c>
    </row>
    <row r="25" spans="1:9">
      <c r="A25" s="38">
        <f>MONTH(Tabela3[[#This Row],[Data]])</f>
        <v>4</v>
      </c>
      <c r="B25" s="45">
        <v>45766</v>
      </c>
      <c r="C25" s="38" t="s">
        <v>46</v>
      </c>
      <c r="D25" s="38" t="s">
        <v>10</v>
      </c>
      <c r="E25" s="50" t="s">
        <v>8</v>
      </c>
      <c r="F25" s="46">
        <v>2</v>
      </c>
      <c r="G25" s="50">
        <f>_xlfn.XLOOKUP(Tabela3[[#This Row],[Código]],Tabela1[Código],Tabela1[Preço Unitário],"",0)</f>
        <v>399.9</v>
      </c>
      <c r="H25" s="50">
        <f>Tabela3[[#This Row],[Quantidade]]*Tabela3[[#This Row],[Unitário]]</f>
        <v>799.8</v>
      </c>
      <c r="I25" s="38" t="s">
        <v>61</v>
      </c>
    </row>
    <row r="26" spans="1:9">
      <c r="A26" s="38">
        <f>MONTH(Tabela3[[#This Row],[Data]])</f>
        <v>4</v>
      </c>
      <c r="B26" s="45">
        <v>45767</v>
      </c>
      <c r="C26" s="38" t="s">
        <v>47</v>
      </c>
      <c r="D26" s="38">
        <v>38</v>
      </c>
      <c r="E26" s="50" t="s">
        <v>59</v>
      </c>
      <c r="F26" s="46">
        <v>3</v>
      </c>
      <c r="G26" s="50">
        <f>_xlfn.XLOOKUP(Tabela3[[#This Row],[Código]],Tabela1[Código],Tabela1[Preço Unitário],"",0)</f>
        <v>89.9</v>
      </c>
      <c r="H26" s="50">
        <f>Tabela3[[#This Row],[Quantidade]]*Tabela3[[#This Row],[Unitário]]</f>
        <v>269.70000000000005</v>
      </c>
      <c r="I26" s="38" t="s">
        <v>58</v>
      </c>
    </row>
    <row r="27" spans="1:9">
      <c r="A27" s="38">
        <f>MONTH(Tabela3[[#This Row],[Data]])</f>
        <v>4</v>
      </c>
      <c r="B27" s="45">
        <v>45768</v>
      </c>
      <c r="C27" s="38" t="s">
        <v>48</v>
      </c>
      <c r="D27" s="38" t="s">
        <v>7</v>
      </c>
      <c r="E27" s="50" t="s">
        <v>8</v>
      </c>
      <c r="F27" s="46">
        <v>4</v>
      </c>
      <c r="G27" s="50">
        <f>_xlfn.XLOOKUP(Tabela3[[#This Row],[Código]],Tabela1[Código],Tabela1[Preço Unitário],"",0)</f>
        <v>32.9</v>
      </c>
      <c r="H27" s="50">
        <f>Tabela3[[#This Row],[Quantidade]]*Tabela3[[#This Row],[Unitário]]</f>
        <v>131.6</v>
      </c>
      <c r="I27" s="38" t="s">
        <v>58</v>
      </c>
    </row>
    <row r="28" spans="1:9">
      <c r="A28" s="38">
        <f>MONTH(Tabela3[[#This Row],[Data]])</f>
        <v>4</v>
      </c>
      <c r="B28" s="45">
        <v>45769</v>
      </c>
      <c r="C28" s="38" t="s">
        <v>49</v>
      </c>
      <c r="D28" s="38" t="s">
        <v>9</v>
      </c>
      <c r="E28" s="50" t="s">
        <v>8</v>
      </c>
      <c r="F28" s="46">
        <v>5</v>
      </c>
      <c r="G28" s="50">
        <f>_xlfn.XLOOKUP(Tabela3[[#This Row],[Código]],Tabela1[Código],Tabela1[Preço Unitário],"",0)</f>
        <v>92.9</v>
      </c>
      <c r="H28" s="50">
        <f>Tabela3[[#This Row],[Quantidade]]*Tabela3[[#This Row],[Unitário]]</f>
        <v>464.5</v>
      </c>
      <c r="I28" s="38" t="s">
        <v>60</v>
      </c>
    </row>
    <row r="29" spans="1:9">
      <c r="A29" s="38">
        <f>MONTH(Tabela3[[#This Row],[Data]])</f>
        <v>4</v>
      </c>
      <c r="B29" s="45">
        <v>45770</v>
      </c>
      <c r="C29" s="38" t="s">
        <v>50</v>
      </c>
      <c r="D29" s="38" t="s">
        <v>9</v>
      </c>
      <c r="E29" s="50" t="s">
        <v>8</v>
      </c>
      <c r="F29" s="46">
        <v>6</v>
      </c>
      <c r="G29" s="50">
        <f>_xlfn.XLOOKUP(Tabela3[[#This Row],[Código]],Tabela1[Código],Tabela1[Preço Unitário],"",0)</f>
        <v>85.9</v>
      </c>
      <c r="H29" s="50">
        <f>Tabela3[[#This Row],[Quantidade]]*Tabela3[[#This Row],[Unitário]]</f>
        <v>515.40000000000009</v>
      </c>
      <c r="I29" s="38" t="s">
        <v>61</v>
      </c>
    </row>
    <row r="30" spans="1:9">
      <c r="A30" s="38">
        <f>MONTH(Tabela3[[#This Row],[Data]])</f>
        <v>4</v>
      </c>
      <c r="B30" s="45">
        <v>45771</v>
      </c>
      <c r="C30" s="38" t="s">
        <v>51</v>
      </c>
      <c r="D30" s="38">
        <v>37</v>
      </c>
      <c r="E30" s="50" t="s">
        <v>59</v>
      </c>
      <c r="F30" s="46">
        <v>7</v>
      </c>
      <c r="G30" s="50">
        <f>_xlfn.XLOOKUP(Tabela3[[#This Row],[Código]],Tabela1[Código],Tabela1[Preço Unitário],"",0)</f>
        <v>29.9</v>
      </c>
      <c r="H30" s="50">
        <f>Tabela3[[#This Row],[Quantidade]]*Tabela3[[#This Row],[Unitário]]</f>
        <v>209.29999999999998</v>
      </c>
      <c r="I30" s="38" t="s">
        <v>60</v>
      </c>
    </row>
    <row r="31" spans="1:9">
      <c r="A31" s="38">
        <f>MONTH(Tabela3[[#This Row],[Data]])</f>
        <v>5</v>
      </c>
      <c r="B31" s="45">
        <v>45786</v>
      </c>
      <c r="C31" s="38" t="s">
        <v>35</v>
      </c>
      <c r="D31" s="38" t="s">
        <v>9</v>
      </c>
      <c r="E31" s="50" t="s">
        <v>8</v>
      </c>
      <c r="F31" s="46">
        <v>1</v>
      </c>
      <c r="G31" s="50">
        <f>_xlfn.XLOOKUP(Tabela3[[#This Row],[Código]],Tabela1[Código],Tabela1[Preço Unitário],"",0)</f>
        <v>70.900000000000006</v>
      </c>
      <c r="H31" s="50">
        <f>Tabela3[[#This Row],[Quantidade]]*Tabela3[[#This Row],[Unitário]]</f>
        <v>70.900000000000006</v>
      </c>
      <c r="I31" s="38" t="s">
        <v>60</v>
      </c>
    </row>
    <row r="32" spans="1:9">
      <c r="A32" s="38">
        <f>MONTH(Tabela3[[#This Row],[Data]])</f>
        <v>5</v>
      </c>
      <c r="B32" s="45">
        <v>45787</v>
      </c>
      <c r="C32" s="38" t="s">
        <v>36</v>
      </c>
      <c r="D32" s="38">
        <v>36</v>
      </c>
      <c r="E32" s="50" t="s">
        <v>59</v>
      </c>
      <c r="F32" s="46">
        <v>1</v>
      </c>
      <c r="G32" s="50">
        <f>_xlfn.XLOOKUP(Tabela3[[#This Row],[Código]],Tabela1[Código],Tabela1[Preço Unitário],"",0)</f>
        <v>69.900000000000006</v>
      </c>
      <c r="H32" s="50">
        <f>Tabela3[[#This Row],[Quantidade]]*Tabela3[[#This Row],[Unitário]]</f>
        <v>69.900000000000006</v>
      </c>
      <c r="I32" s="38" t="s">
        <v>60</v>
      </c>
    </row>
    <row r="33" spans="1:9">
      <c r="A33" s="38">
        <f>MONTH(Tabela3[[#This Row],[Data]])</f>
        <v>5</v>
      </c>
      <c r="B33" s="45">
        <v>45788</v>
      </c>
      <c r="C33" s="38" t="s">
        <v>37</v>
      </c>
      <c r="D33" s="38" t="s">
        <v>12</v>
      </c>
      <c r="E33" s="50" t="s">
        <v>13</v>
      </c>
      <c r="F33" s="46">
        <v>1</v>
      </c>
      <c r="G33" s="50">
        <f>_xlfn.XLOOKUP(Tabela3[[#This Row],[Código]],Tabela1[Código],Tabela1[Preço Unitário],"",0)</f>
        <v>49.9</v>
      </c>
      <c r="H33" s="50">
        <f>Tabela3[[#This Row],[Quantidade]]*Tabela3[[#This Row],[Unitário]]</f>
        <v>49.9</v>
      </c>
      <c r="I33" s="38" t="s">
        <v>58</v>
      </c>
    </row>
    <row r="34" spans="1:9">
      <c r="A34" s="38">
        <f>MONTH(Tabela3[[#This Row],[Data]])</f>
        <v>5</v>
      </c>
      <c r="B34" s="45">
        <v>45789</v>
      </c>
      <c r="C34" s="38" t="s">
        <v>39</v>
      </c>
      <c r="D34" s="38" t="s">
        <v>9</v>
      </c>
      <c r="E34" s="50" t="s">
        <v>8</v>
      </c>
      <c r="F34" s="46">
        <v>2</v>
      </c>
      <c r="G34" s="50">
        <f>_xlfn.XLOOKUP(Tabela3[[#This Row],[Código]],Tabela1[Código],Tabela1[Preço Unitário],"",0)</f>
        <v>259.89999999999998</v>
      </c>
      <c r="H34" s="50">
        <f>Tabela3[[#This Row],[Quantidade]]*Tabela3[[#This Row],[Unitário]]</f>
        <v>519.79999999999995</v>
      </c>
      <c r="I34" s="38" t="s">
        <v>60</v>
      </c>
    </row>
    <row r="35" spans="1:9">
      <c r="A35" s="38">
        <f>MONTH(Tabela3[[#This Row],[Data]])</f>
        <v>5</v>
      </c>
      <c r="B35" s="45">
        <v>45790</v>
      </c>
      <c r="C35" s="38" t="s">
        <v>40</v>
      </c>
      <c r="D35" s="38" t="s">
        <v>10</v>
      </c>
      <c r="E35" s="50" t="s">
        <v>8</v>
      </c>
      <c r="F35" s="46">
        <v>2</v>
      </c>
      <c r="G35" s="50">
        <f>_xlfn.XLOOKUP(Tabela3[[#This Row],[Código]],Tabela1[Código],Tabela1[Preço Unitário],"",0)</f>
        <v>249.9</v>
      </c>
      <c r="H35" s="50">
        <f>Tabela3[[#This Row],[Quantidade]]*Tabela3[[#This Row],[Unitário]]</f>
        <v>499.8</v>
      </c>
      <c r="I35" s="38" t="s">
        <v>60</v>
      </c>
    </row>
  </sheetData>
  <mergeCells count="1">
    <mergeCell ref="A1:I1"/>
  </mergeCells>
  <conditionalFormatting sqref="I3:I35">
    <cfRule type="iconSet" priority="9">
      <iconSet iconSet="3Symbols">
        <cfvo type="percent" val="0"/>
        <cfvo type="percent" val="33"/>
        <cfvo type="percent" val="67"/>
      </iconSet>
    </cfRule>
  </conditionalFormatting>
  <conditionalFormatting sqref="H3">
    <cfRule type="iconSet" priority="10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10E1-EDDC-4CDB-B6E4-E69C4DF24AC2}">
  <dimension ref="B3:P14"/>
  <sheetViews>
    <sheetView topLeftCell="A4" workbookViewId="0">
      <selection activeCell="I22" sqref="I22"/>
    </sheetView>
  </sheetViews>
  <sheetFormatPr defaultRowHeight="15"/>
  <cols>
    <col min="1" max="1" width="13" bestFit="1" customWidth="1"/>
    <col min="2" max="3" width="19.28515625" bestFit="1" customWidth="1"/>
    <col min="13" max="13" width="10.85546875" customWidth="1"/>
  </cols>
  <sheetData>
    <row r="3" spans="2:16" ht="29.25" customHeight="1">
      <c r="B3" s="13" t="s">
        <v>1</v>
      </c>
      <c r="C3" t="s">
        <v>62</v>
      </c>
      <c r="M3" s="59" t="s">
        <v>63</v>
      </c>
      <c r="N3" s="59"/>
      <c r="O3" s="59"/>
      <c r="P3" s="59"/>
    </row>
    <row r="4" spans="2:16">
      <c r="B4" t="s">
        <v>17</v>
      </c>
      <c r="C4" s="12">
        <v>40</v>
      </c>
    </row>
    <row r="5" spans="2:16">
      <c r="B5" t="s">
        <v>20</v>
      </c>
      <c r="C5" s="12">
        <v>1</v>
      </c>
    </row>
    <row r="6" spans="2:16">
      <c r="B6" t="s">
        <v>21</v>
      </c>
      <c r="C6" s="12">
        <v>11</v>
      </c>
    </row>
    <row r="7" spans="2:16">
      <c r="B7" t="s">
        <v>15</v>
      </c>
      <c r="C7" s="12">
        <v>19</v>
      </c>
    </row>
    <row r="8" spans="2:16">
      <c r="B8" t="s">
        <v>6</v>
      </c>
      <c r="C8" s="12">
        <v>28</v>
      </c>
    </row>
    <row r="9" spans="2:16">
      <c r="B9" t="s">
        <v>22</v>
      </c>
      <c r="C9" s="12">
        <v>21</v>
      </c>
    </row>
    <row r="10" spans="2:16">
      <c r="B10" t="s">
        <v>14</v>
      </c>
      <c r="C10" s="12">
        <v>4</v>
      </c>
    </row>
    <row r="11" spans="2:16">
      <c r="B11" t="s">
        <v>11</v>
      </c>
      <c r="C11" s="12">
        <v>3</v>
      </c>
    </row>
    <row r="12" spans="2:16">
      <c r="B12" t="s">
        <v>18</v>
      </c>
      <c r="C12" s="12">
        <v>3</v>
      </c>
    </row>
    <row r="13" spans="2:16">
      <c r="B13" t="s">
        <v>16</v>
      </c>
      <c r="C13" s="12">
        <v>2</v>
      </c>
    </row>
    <row r="14" spans="2:16">
      <c r="B14" t="s">
        <v>64</v>
      </c>
      <c r="C14" s="12">
        <v>132</v>
      </c>
    </row>
  </sheetData>
  <mergeCells count="1">
    <mergeCell ref="M3:P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4FEC-CFF5-4101-B80A-C712A4645865}">
  <dimension ref="B2:K9"/>
  <sheetViews>
    <sheetView workbookViewId="0">
      <selection activeCell="E2" sqref="E2"/>
    </sheetView>
  </sheetViews>
  <sheetFormatPr defaultRowHeight="15"/>
  <cols>
    <col min="2" max="2" width="13" bestFit="1" customWidth="1"/>
    <col min="3" max="3" width="11.28515625" bestFit="1" customWidth="1"/>
    <col min="4" max="4" width="9.42578125" bestFit="1" customWidth="1"/>
    <col min="5" max="5" width="13.42578125" bestFit="1" customWidth="1"/>
    <col min="6" max="6" width="17" bestFit="1" customWidth="1"/>
    <col min="7" max="7" width="11.28515625" bestFit="1" customWidth="1"/>
    <col min="8" max="8" width="10.28515625" bestFit="1" customWidth="1"/>
    <col min="9" max="9" width="17" bestFit="1" customWidth="1"/>
  </cols>
  <sheetData>
    <row r="2" spans="2:11">
      <c r="B2" s="17" t="s">
        <v>5</v>
      </c>
    </row>
    <row r="3" spans="2:11">
      <c r="B3" s="16">
        <v>2</v>
      </c>
    </row>
    <row r="5" spans="2:11">
      <c r="B5" s="19" t="s">
        <v>1</v>
      </c>
      <c r="C5" s="20" t="s">
        <v>2</v>
      </c>
      <c r="D5" s="19" t="s">
        <v>3</v>
      </c>
      <c r="E5" s="19" t="s">
        <v>4</v>
      </c>
      <c r="F5" s="21" t="s">
        <v>24</v>
      </c>
      <c r="G5" s="20" t="s">
        <v>5</v>
      </c>
      <c r="H5" s="19" t="s">
        <v>26</v>
      </c>
      <c r="I5" s="19" t="s">
        <v>27</v>
      </c>
    </row>
    <row r="6" spans="2:11">
      <c r="B6" s="18" t="str" cm="1">
        <f t="array" ref="B6:K9">_xlfn._xlws.FILTER(Tabela1[],Tabela1[Quantidade]=$B$3,"")</f>
        <v>PR001</v>
      </c>
      <c r="C6" s="22" t="str">
        <v>Tênis</v>
      </c>
      <c r="D6" s="18">
        <v>38</v>
      </c>
      <c r="E6" s="18" t="str">
        <v>Calçado</v>
      </c>
      <c r="F6" s="18">
        <v>259.89999999999998</v>
      </c>
      <c r="G6" s="18">
        <v>259.79999999999995</v>
      </c>
      <c r="H6" s="18">
        <v>2</v>
      </c>
      <c r="I6" s="18">
        <v>0</v>
      </c>
      <c r="J6">
        <v>519.79999999999995</v>
      </c>
      <c r="K6">
        <v>51.98</v>
      </c>
    </row>
    <row r="7" spans="2:11">
      <c r="B7" s="18" t="str">
        <v>PR012</v>
      </c>
      <c r="C7" s="22" t="str">
        <v>Tênis</v>
      </c>
      <c r="D7" s="18">
        <v>36</v>
      </c>
      <c r="E7" s="18" t="str">
        <v>Calçado</v>
      </c>
      <c r="F7" s="18">
        <v>199.9</v>
      </c>
      <c r="G7" s="18">
        <v>199.8</v>
      </c>
      <c r="H7" s="18">
        <v>2</v>
      </c>
      <c r="I7" s="18">
        <v>2</v>
      </c>
      <c r="J7">
        <v>399.8</v>
      </c>
      <c r="K7">
        <v>39.980000000000004</v>
      </c>
    </row>
    <row r="8" spans="2:11">
      <c r="B8" s="18" t="str">
        <v>PR013</v>
      </c>
      <c r="C8" s="22" t="str">
        <v xml:space="preserve">Vestido </v>
      </c>
      <c r="D8" s="18" t="str">
        <v>Único</v>
      </c>
      <c r="E8" s="18" t="str">
        <v>Vestuário</v>
      </c>
      <c r="F8" s="18">
        <v>149.9</v>
      </c>
      <c r="G8" s="18">
        <v>149.80000000000001</v>
      </c>
      <c r="H8" s="18">
        <v>2</v>
      </c>
      <c r="I8" s="18">
        <v>2</v>
      </c>
      <c r="J8">
        <v>299.8</v>
      </c>
      <c r="K8">
        <v>29.980000000000004</v>
      </c>
    </row>
    <row r="9" spans="2:11">
      <c r="B9" t="str">
        <v>PR014</v>
      </c>
      <c r="C9" t="str">
        <v xml:space="preserve">Jaqueta </v>
      </c>
      <c r="D9" t="str">
        <v>M</v>
      </c>
      <c r="E9" t="str">
        <v>Vestuário</v>
      </c>
      <c r="F9">
        <v>259.89999999999998</v>
      </c>
      <c r="G9">
        <v>259.79999999999995</v>
      </c>
      <c r="H9">
        <v>2</v>
      </c>
      <c r="I9">
        <v>2</v>
      </c>
      <c r="J9">
        <v>519.79999999999995</v>
      </c>
      <c r="K9">
        <v>51.98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BA12-23B6-4D6C-8EBC-F2C97C2ACDB2}">
  <dimension ref="A1:K16"/>
  <sheetViews>
    <sheetView workbookViewId="0">
      <selection activeCell="K12" sqref="K12:N12"/>
    </sheetView>
  </sheetViews>
  <sheetFormatPr defaultRowHeight="15"/>
  <cols>
    <col min="1" max="1" width="14.140625" bestFit="1" customWidth="1"/>
    <col min="2" max="2" width="13.7109375" customWidth="1"/>
    <col min="3" max="3" width="15" customWidth="1"/>
    <col min="4" max="4" width="12.5703125" customWidth="1"/>
    <col min="5" max="5" width="13.28515625" customWidth="1"/>
    <col min="6" max="6" width="7.5703125" customWidth="1"/>
    <col min="7" max="7" width="7.42578125" customWidth="1"/>
    <col min="8" max="8" width="12.85546875" customWidth="1"/>
    <col min="9" max="9" width="13.5703125" customWidth="1"/>
    <col min="10" max="10" width="13.85546875" customWidth="1"/>
  </cols>
  <sheetData>
    <row r="1" spans="1:11" ht="26.25">
      <c r="A1" s="63" t="s">
        <v>65</v>
      </c>
      <c r="B1" s="63"/>
      <c r="C1" s="63"/>
      <c r="D1" s="63"/>
    </row>
    <row r="2" spans="1:11" ht="26.25">
      <c r="A2" s="56"/>
      <c r="B2" s="56"/>
      <c r="C2" s="56"/>
      <c r="D2" s="56"/>
    </row>
    <row r="3" spans="1:11">
      <c r="B3" s="64" t="s">
        <v>66</v>
      </c>
      <c r="C3" s="64"/>
      <c r="D3" s="64"/>
      <c r="E3" s="64"/>
      <c r="H3" s="60" t="s">
        <v>18</v>
      </c>
      <c r="I3" s="60"/>
      <c r="J3" s="60"/>
      <c r="K3" t="s">
        <v>67</v>
      </c>
    </row>
    <row r="4" spans="1:11" ht="43.5">
      <c r="B4" s="25" t="s">
        <v>68</v>
      </c>
      <c r="C4" s="24" t="s">
        <v>69</v>
      </c>
      <c r="D4" s="29" t="s">
        <v>70</v>
      </c>
      <c r="E4" s="30" t="s">
        <v>71</v>
      </c>
      <c r="H4" s="31" t="s">
        <v>72</v>
      </c>
      <c r="I4" s="32" t="s">
        <v>73</v>
      </c>
      <c r="J4" s="32" t="s">
        <v>74</v>
      </c>
    </row>
    <row r="5" spans="1:11" ht="39" customHeight="1">
      <c r="B5" s="26">
        <f>COUNTA(Tabela1[Produtos])</f>
        <v>20</v>
      </c>
      <c r="C5" s="27">
        <f>COUNTIF(Tabela1[Quantidade],"&gt;0")</f>
        <v>19</v>
      </c>
      <c r="D5" s="26">
        <f>Tabela1[[#Totals],[Quantidade]]</f>
        <v>123</v>
      </c>
      <c r="E5" s="27">
        <f>AVERAGE(Tabela1[Quantidade])</f>
        <v>6.4736842105263159</v>
      </c>
      <c r="H5" s="28">
        <f>COUNTIF(Tabela1[Produtos],'Contagem Produtos'!H3)</f>
        <v>3</v>
      </c>
      <c r="I5" s="28">
        <f>SUMIF(Tabela1[Produtos],'Contagem Produtos'!H3,Tabela1[Quantidade])</f>
        <v>5</v>
      </c>
      <c r="J5" s="28">
        <f>AVERAGEIF(Tabela1[Produtos],H3,Tabela1[Quantidade])</f>
        <v>1.6666666666666667</v>
      </c>
    </row>
    <row r="7" spans="1:11">
      <c r="A7" t="s">
        <v>75</v>
      </c>
      <c r="B7" s="61" t="s">
        <v>76</v>
      </c>
      <c r="C7" s="61"/>
      <c r="D7" s="61"/>
    </row>
    <row r="8" spans="1:11">
      <c r="A8" t="s">
        <v>77</v>
      </c>
      <c r="B8" s="62" t="s">
        <v>78</v>
      </c>
      <c r="C8" s="62"/>
      <c r="D8" s="62"/>
      <c r="I8" s="23"/>
    </row>
    <row r="16" spans="1:11">
      <c r="H16" s="23"/>
    </row>
  </sheetData>
  <mergeCells count="5">
    <mergeCell ref="H3:J3"/>
    <mergeCell ref="B7:D7"/>
    <mergeCell ref="B8:D8"/>
    <mergeCell ref="A1:D1"/>
    <mergeCell ref="B3:E3"/>
  </mergeCells>
  <dataValidations count="1">
    <dataValidation allowBlank="1" showInputMessage="1" showErrorMessage="1" error="ERRO" sqref="F2" xr:uid="{857364CA-2FFC-4CC2-B37D-FE9C028BD682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showInputMessage="1" showErrorMessage="1" error="ERRO" promptTitle="INSERIR" prompt="INSERIR" xr:uid="{4161325B-3AA8-48E0-AD7A-666586BAB4D1}">
          <x14:formula1>
            <xm:f>'Tabelas de Produtos'!$B$4:$B$23</xm:f>
          </x14:formula1>
          <xm:sqref>H3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A75-2B17-4928-896D-211816801602}">
  <dimension ref="B2:AM21"/>
  <sheetViews>
    <sheetView tabSelected="1" workbookViewId="0">
      <selection activeCell="AN10" sqref="AN10"/>
    </sheetView>
  </sheetViews>
  <sheetFormatPr defaultColWidth="2.85546875" defaultRowHeight="15"/>
  <cols>
    <col min="2" max="39" width="2.85546875" customWidth="1"/>
  </cols>
  <sheetData>
    <row r="2" spans="2:39">
      <c r="B2" s="65" t="s">
        <v>79</v>
      </c>
      <c r="C2" s="66"/>
      <c r="D2" s="66"/>
      <c r="E2" s="66"/>
      <c r="F2" s="66"/>
      <c r="G2" s="66"/>
      <c r="H2" s="66"/>
      <c r="I2" s="66"/>
      <c r="J2" s="66"/>
      <c r="K2" s="67"/>
      <c r="N2" s="65" t="s">
        <v>80</v>
      </c>
      <c r="O2" s="66"/>
      <c r="P2" s="66"/>
      <c r="Q2" s="66"/>
      <c r="R2" s="66"/>
      <c r="S2" s="66"/>
      <c r="T2" s="66"/>
      <c r="U2" s="66"/>
      <c r="V2" s="66"/>
      <c r="W2" s="67"/>
      <c r="Z2" s="65" t="s">
        <v>81</v>
      </c>
      <c r="AA2" s="66"/>
      <c r="AB2" s="66"/>
      <c r="AC2" s="66"/>
      <c r="AD2" s="66"/>
      <c r="AE2" s="66"/>
      <c r="AF2" s="66"/>
      <c r="AG2" s="66"/>
      <c r="AH2" s="66"/>
      <c r="AI2" s="67"/>
    </row>
    <row r="3" spans="2:39">
      <c r="B3" s="68">
        <f>COUNTA(Tabela3[Código])</f>
        <v>32</v>
      </c>
      <c r="C3" s="69"/>
      <c r="D3" s="69"/>
      <c r="E3" s="69"/>
      <c r="F3" s="69"/>
      <c r="G3" s="69"/>
      <c r="H3" s="69"/>
      <c r="I3" s="69"/>
      <c r="J3" s="69"/>
      <c r="K3" s="70"/>
      <c r="N3" s="68">
        <f>SUM(Tabela3[Quantidade])</f>
        <v>68</v>
      </c>
      <c r="O3" s="69"/>
      <c r="P3" s="69"/>
      <c r="Q3" s="69"/>
      <c r="R3" s="69"/>
      <c r="S3" s="69"/>
      <c r="T3" s="69"/>
      <c r="U3" s="69"/>
      <c r="V3" s="69"/>
      <c r="W3" s="70"/>
      <c r="Z3" s="74">
        <f>SUM(Tabela3[Total])</f>
        <v>8529.1999999999989</v>
      </c>
      <c r="AA3" s="75"/>
      <c r="AB3" s="75"/>
      <c r="AC3" s="75"/>
      <c r="AD3" s="75"/>
      <c r="AE3" s="75"/>
      <c r="AF3" s="75"/>
      <c r="AG3" s="75"/>
      <c r="AH3" s="75"/>
      <c r="AI3" s="76"/>
    </row>
    <row r="4" spans="2:39">
      <c r="B4" s="68"/>
      <c r="C4" s="69"/>
      <c r="D4" s="69"/>
      <c r="E4" s="69"/>
      <c r="F4" s="69"/>
      <c r="G4" s="69"/>
      <c r="H4" s="69"/>
      <c r="I4" s="69"/>
      <c r="J4" s="69"/>
      <c r="K4" s="70"/>
      <c r="N4" s="68"/>
      <c r="O4" s="69"/>
      <c r="P4" s="69"/>
      <c r="Q4" s="69"/>
      <c r="R4" s="69"/>
      <c r="S4" s="69"/>
      <c r="T4" s="69"/>
      <c r="U4" s="69"/>
      <c r="V4" s="69"/>
      <c r="W4" s="70"/>
      <c r="Z4" s="74"/>
      <c r="AA4" s="75"/>
      <c r="AB4" s="75"/>
      <c r="AC4" s="75"/>
      <c r="AD4" s="75"/>
      <c r="AE4" s="75"/>
      <c r="AF4" s="75"/>
      <c r="AG4" s="75"/>
      <c r="AH4" s="75"/>
      <c r="AI4" s="76"/>
    </row>
    <row r="5" spans="2:39">
      <c r="B5" s="68"/>
      <c r="C5" s="69"/>
      <c r="D5" s="69"/>
      <c r="E5" s="69"/>
      <c r="F5" s="69"/>
      <c r="G5" s="69"/>
      <c r="H5" s="69"/>
      <c r="I5" s="69"/>
      <c r="J5" s="69"/>
      <c r="K5" s="70"/>
      <c r="N5" s="68"/>
      <c r="O5" s="69"/>
      <c r="P5" s="69"/>
      <c r="Q5" s="69"/>
      <c r="R5" s="69"/>
      <c r="S5" s="69"/>
      <c r="T5" s="69"/>
      <c r="U5" s="69"/>
      <c r="V5" s="69"/>
      <c r="W5" s="70"/>
      <c r="Z5" s="74"/>
      <c r="AA5" s="75"/>
      <c r="AB5" s="75"/>
      <c r="AC5" s="75"/>
      <c r="AD5" s="75"/>
      <c r="AE5" s="75"/>
      <c r="AF5" s="75"/>
      <c r="AG5" s="75"/>
      <c r="AH5" s="75"/>
      <c r="AI5" s="76"/>
    </row>
    <row r="6" spans="2:39">
      <c r="B6" s="71"/>
      <c r="C6" s="72"/>
      <c r="D6" s="72"/>
      <c r="E6" s="72"/>
      <c r="F6" s="72"/>
      <c r="G6" s="72"/>
      <c r="H6" s="72"/>
      <c r="I6" s="72"/>
      <c r="J6" s="72"/>
      <c r="K6" s="73"/>
      <c r="N6" s="71"/>
      <c r="O6" s="72"/>
      <c r="P6" s="72"/>
      <c r="Q6" s="72"/>
      <c r="R6" s="72"/>
      <c r="S6" s="72"/>
      <c r="T6" s="72"/>
      <c r="U6" s="72"/>
      <c r="V6" s="72"/>
      <c r="W6" s="73"/>
      <c r="Z6" s="77"/>
      <c r="AA6" s="78"/>
      <c r="AB6" s="78"/>
      <c r="AC6" s="78"/>
      <c r="AD6" s="78"/>
      <c r="AE6" s="78"/>
      <c r="AF6" s="78"/>
      <c r="AG6" s="78"/>
      <c r="AH6" s="78"/>
      <c r="AI6" s="79"/>
    </row>
    <row r="7" spans="2:39"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spans="2:39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</row>
    <row r="9" spans="2:39">
      <c r="B9" s="65" t="s">
        <v>82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34"/>
      <c r="AK9" s="34"/>
      <c r="AL9" s="34"/>
      <c r="AM9" s="34"/>
    </row>
    <row r="10" spans="2:39">
      <c r="AK10" s="34"/>
      <c r="AL10" s="34"/>
      <c r="AM10" s="34"/>
    </row>
    <row r="11" spans="2:39">
      <c r="AK11" s="34"/>
      <c r="AL11" s="34"/>
      <c r="AM11" s="34"/>
    </row>
    <row r="12" spans="2:39">
      <c r="AK12" s="34"/>
      <c r="AL12" s="34"/>
      <c r="AM12" s="34"/>
    </row>
    <row r="13" spans="2:39">
      <c r="AK13" s="34"/>
      <c r="AL13" s="34"/>
      <c r="AM13" s="34"/>
    </row>
    <row r="14" spans="2:39">
      <c r="AK14" s="34"/>
      <c r="AL14" s="34"/>
      <c r="AM14" s="34"/>
    </row>
    <row r="15" spans="2:39">
      <c r="AK15" s="34"/>
      <c r="AL15" s="34"/>
      <c r="AM15" s="34"/>
    </row>
    <row r="16" spans="2:39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2:39">
      <c r="AJ17" s="34"/>
      <c r="AK17" s="34"/>
      <c r="AL17" s="34"/>
      <c r="AM17" s="34"/>
    </row>
    <row r="21" spans="2:39">
      <c r="B21" s="65" t="s">
        <v>83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7"/>
      <c r="R21" s="34"/>
      <c r="S21" s="34"/>
      <c r="T21" s="65" t="s">
        <v>84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7"/>
    </row>
  </sheetData>
  <mergeCells count="9">
    <mergeCell ref="T21:AI21"/>
    <mergeCell ref="B21:Q21"/>
    <mergeCell ref="B9:AI9"/>
    <mergeCell ref="Z2:AI2"/>
    <mergeCell ref="N2:W2"/>
    <mergeCell ref="B2:K2"/>
    <mergeCell ref="B3:K6"/>
    <mergeCell ref="N3:W6"/>
    <mergeCell ref="Z3:AI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AC74-B932-4643-ADD8-48195083EF82}">
  <dimension ref="A1:O13"/>
  <sheetViews>
    <sheetView workbookViewId="0">
      <selection activeCell="M2" sqref="M2"/>
    </sheetView>
  </sheetViews>
  <sheetFormatPr defaultRowHeight="15"/>
  <cols>
    <col min="1" max="1" width="11.42578125" bestFit="1" customWidth="1"/>
    <col min="2" max="2" width="12.28515625" bestFit="1" customWidth="1"/>
    <col min="3" max="3" width="13" bestFit="1" customWidth="1"/>
    <col min="4" max="4" width="4.28515625" customWidth="1"/>
    <col min="5" max="5" width="3.85546875" customWidth="1"/>
    <col min="8" max="8" width="12.28515625" bestFit="1" customWidth="1"/>
    <col min="10" max="10" width="4" customWidth="1"/>
    <col min="11" max="11" width="4.28515625" customWidth="1"/>
    <col min="12" max="12" width="10.140625" bestFit="1" customWidth="1"/>
    <col min="13" max="13" width="12" bestFit="1" customWidth="1"/>
    <col min="14" max="14" width="10.5703125" bestFit="1" customWidth="1"/>
    <col min="15" max="15" width="12" bestFit="1" customWidth="1"/>
  </cols>
  <sheetData>
    <row r="1" spans="1:15">
      <c r="A1" s="47" t="s">
        <v>85</v>
      </c>
      <c r="B1" s="47" t="s">
        <v>86</v>
      </c>
      <c r="C1" s="47" t="s">
        <v>87</v>
      </c>
      <c r="F1" s="47" t="s">
        <v>88</v>
      </c>
      <c r="G1" s="47" t="s">
        <v>89</v>
      </c>
      <c r="H1" s="47" t="s">
        <v>90</v>
      </c>
      <c r="I1" s="47" t="s">
        <v>91</v>
      </c>
      <c r="L1" s="47" t="s">
        <v>3</v>
      </c>
      <c r="M1" s="55" t="s">
        <v>92</v>
      </c>
      <c r="N1" s="55" t="s">
        <v>93</v>
      </c>
      <c r="O1" s="47" t="s">
        <v>52</v>
      </c>
    </row>
    <row r="2" spans="1:15">
      <c r="A2" s="16" t="s">
        <v>58</v>
      </c>
      <c r="B2" s="16">
        <f>COUNTIF(Tabela3[Vendedor],A2)</f>
        <v>9</v>
      </c>
      <c r="C2" s="48">
        <f>SUMIF(Tabela3[Vendedor],A2,Tabela3[Total])</f>
        <v>1819</v>
      </c>
      <c r="F2" s="16">
        <v>1</v>
      </c>
      <c r="G2" s="16" t="s">
        <v>94</v>
      </c>
      <c r="H2" s="48">
        <f>SUMIF(Tabela3[Mês],Dados!F2,Tabela3[Total])</f>
        <v>2177.6</v>
      </c>
      <c r="I2" s="49">
        <f>SUMIF(Tabela3[Mês],Dados!F2,Tabela3[Quantidade])</f>
        <v>14</v>
      </c>
      <c r="L2" s="53" t="s">
        <v>13</v>
      </c>
      <c r="M2" s="51">
        <f>O2/SUM($O$2:$O$4)</f>
        <v>6.5609904797636343E-2</v>
      </c>
      <c r="N2" s="52">
        <f>1-M2</f>
        <v>0.9343900952023636</v>
      </c>
      <c r="O2" s="54">
        <f>SUMIF(Tabela3[Categoria],Dados!L2,Tabela3[Total])</f>
        <v>559.59999999999991</v>
      </c>
    </row>
    <row r="3" spans="1:15">
      <c r="A3" s="16" t="s">
        <v>60</v>
      </c>
      <c r="B3" s="16">
        <f>COUNTIF(Tabela3[Vendedor],A3)</f>
        <v>15</v>
      </c>
      <c r="C3" s="48">
        <f>SUMIF(Tabela3[Vendedor],A3,Tabela3[Total])</f>
        <v>3770</v>
      </c>
      <c r="F3" s="16">
        <v>2</v>
      </c>
      <c r="G3" s="16" t="s">
        <v>95</v>
      </c>
      <c r="H3" s="48">
        <f>SUMIF(Tabela3[Mês],Dados!F3,Tabela3[Total])</f>
        <v>1559.4</v>
      </c>
      <c r="I3" s="49">
        <f>SUMIF(Tabela3[Mês],Dados!F3,Tabela3[Quantidade])</f>
        <v>6</v>
      </c>
      <c r="L3" s="53" t="s">
        <v>59</v>
      </c>
      <c r="M3" s="51">
        <f t="shared" ref="M3:M4" si="0">O3/SUM($O$2:$O$4)</f>
        <v>0.18991230127092812</v>
      </c>
      <c r="N3" s="52">
        <f t="shared" ref="N3:N4" si="1">1-M3</f>
        <v>0.81008769872907194</v>
      </c>
      <c r="O3" s="54">
        <f>SUMIF(Tabela3[Categoria],Dados!L3,Tabela3[Total])</f>
        <v>1619.8000000000002</v>
      </c>
    </row>
    <row r="4" spans="1:15">
      <c r="A4" s="16" t="s">
        <v>61</v>
      </c>
      <c r="B4" s="16">
        <f>COUNTIF(Tabela3[Vendedor],A4)</f>
        <v>8</v>
      </c>
      <c r="C4" s="48">
        <f>SUMIF(Tabela3[Vendedor],A4,Tabela3[Total])</f>
        <v>2940.2000000000003</v>
      </c>
      <c r="F4" s="16">
        <v>3</v>
      </c>
      <c r="G4" s="16" t="s">
        <v>96</v>
      </c>
      <c r="H4" s="48">
        <f>SUMIF(Tabela3[Mês],Dados!F4,Tabela3[Total])</f>
        <v>931.7</v>
      </c>
      <c r="I4" s="49">
        <f>SUMIF(Tabela3[Mês],Dados!F4,Tabela3[Quantidade])</f>
        <v>13</v>
      </c>
      <c r="L4" s="53" t="s">
        <v>8</v>
      </c>
      <c r="M4" s="51">
        <f t="shared" si="0"/>
        <v>0.74447779393143565</v>
      </c>
      <c r="N4" s="52">
        <f t="shared" si="1"/>
        <v>0.25552220606856435</v>
      </c>
      <c r="O4" s="54">
        <f>SUMIF(Tabela3[Categoria],Dados!L4,Tabela3[Total])</f>
        <v>6349.8000000000011</v>
      </c>
    </row>
    <row r="5" spans="1:15">
      <c r="F5" s="16">
        <v>4</v>
      </c>
      <c r="G5" s="16" t="s">
        <v>97</v>
      </c>
      <c r="H5" s="48">
        <f>SUMIF(Tabela3[Mês],Dados!F5,Tabela3[Total])</f>
        <v>2650.2</v>
      </c>
      <c r="I5" s="49">
        <f>SUMIF(Tabela3[Mês],Dados!F5,Tabela3[Quantidade])</f>
        <v>28</v>
      </c>
    </row>
    <row r="6" spans="1:15">
      <c r="F6" s="16">
        <v>5</v>
      </c>
      <c r="G6" s="16" t="s">
        <v>98</v>
      </c>
      <c r="H6" s="48">
        <f>SUMIF(Tabela3[Mês],Dados!F6,Tabela3[Total])</f>
        <v>1210.3</v>
      </c>
      <c r="I6" s="49">
        <f>SUMIF(Tabela3[Mês],Dados!F6,Tabela3[Quantidade])</f>
        <v>7</v>
      </c>
    </row>
    <row r="7" spans="1:15">
      <c r="F7" s="16">
        <v>6</v>
      </c>
      <c r="G7" s="16" t="s">
        <v>99</v>
      </c>
      <c r="H7" s="48">
        <f>SUMIF(Tabela3[Mês],Dados!F7,Tabela3[Total])</f>
        <v>0</v>
      </c>
      <c r="I7" s="49">
        <f>SUMIF(Tabela3[Mês],Dados!F7,Tabela3[Quantidade])</f>
        <v>0</v>
      </c>
    </row>
    <row r="8" spans="1:15">
      <c r="F8" s="16">
        <v>7</v>
      </c>
      <c r="G8" s="16" t="s">
        <v>100</v>
      </c>
      <c r="H8" s="48">
        <f>SUMIF(Tabela3[Mês],Dados!F8,Tabela3[Total])</f>
        <v>0</v>
      </c>
      <c r="I8" s="49">
        <f>SUMIF(Tabela3[Mês],Dados!F8,Tabela3[Quantidade])</f>
        <v>0</v>
      </c>
    </row>
    <row r="9" spans="1:15">
      <c r="F9" s="16">
        <v>8</v>
      </c>
      <c r="G9" s="16" t="s">
        <v>101</v>
      </c>
      <c r="H9" s="48">
        <f>SUMIF(Tabela3[Mês],Dados!F9,Tabela3[Total])</f>
        <v>0</v>
      </c>
      <c r="I9" s="49">
        <f>SUMIF(Tabela3[Mês],Dados!F9,Tabela3[Quantidade])</f>
        <v>0</v>
      </c>
    </row>
    <row r="10" spans="1:15">
      <c r="F10" s="16">
        <v>9</v>
      </c>
      <c r="G10" s="16" t="s">
        <v>102</v>
      </c>
      <c r="H10" s="48">
        <f>SUMIF(Tabela3[Mês],Dados!F10,Tabela3[Total])</f>
        <v>0</v>
      </c>
      <c r="I10" s="49">
        <f>SUMIF(Tabela3[Mês],Dados!F10,Tabela3[Quantidade])</f>
        <v>0</v>
      </c>
    </row>
    <row r="11" spans="1:15">
      <c r="F11" s="16">
        <v>10</v>
      </c>
      <c r="G11" s="16" t="s">
        <v>103</v>
      </c>
      <c r="H11" s="48">
        <f>SUMIF(Tabela3[Mês],Dados!F11,Tabela3[Total])</f>
        <v>0</v>
      </c>
      <c r="I11" s="49">
        <f>SUMIF(Tabela3[Mês],Dados!F11,Tabela3[Quantidade])</f>
        <v>0</v>
      </c>
    </row>
    <row r="12" spans="1:15">
      <c r="F12" s="16">
        <v>11</v>
      </c>
      <c r="G12" s="16" t="s">
        <v>104</v>
      </c>
      <c r="H12" s="48">
        <f>SUMIF(Tabela3[Mês],Dados!F12,Tabela3[Total])</f>
        <v>0</v>
      </c>
      <c r="I12" s="49">
        <f>SUMIF(Tabela3[Mês],Dados!F12,Tabela3[Quantidade])</f>
        <v>0</v>
      </c>
    </row>
    <row r="13" spans="1:15">
      <c r="F13" s="16">
        <v>12</v>
      </c>
      <c r="G13" s="16" t="s">
        <v>105</v>
      </c>
      <c r="H13" s="48">
        <f>SUMIF(Tabela3[Mês],Dados!F13,Tabela3[Total])</f>
        <v>0</v>
      </c>
      <c r="I13" s="49">
        <f>SUMIF(Tabela3[Mês],Dados!F13,Tabela3[Quantidade])</f>
        <v>0</v>
      </c>
    </row>
  </sheetData>
  <conditionalFormatting sqref="A2:A4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G2:G13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2025-05-22T15:54:17Z</dcterms:created>
  <dcterms:modified xsi:type="dcterms:W3CDTF">2025-07-18T00:44:21Z</dcterms:modified>
  <cp:category/>
  <cp:contentStatus/>
</cp:coreProperties>
</file>